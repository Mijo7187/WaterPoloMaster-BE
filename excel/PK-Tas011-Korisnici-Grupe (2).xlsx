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utstvo" sheetId="1" state="visible" r:id="rId1"/>
    <sheet xmlns:r="http://schemas.openxmlformats.org/officeDocument/2006/relationships" name="Korisni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4"/>
    </font>
    <font>
      <sz val="10"/>
    </font>
    <font>
      <b val="1"/>
      <color rgb="002E5496"/>
    </font>
  </fonts>
  <fills count="8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165" fontId="0" fillId="5" borderId="1" pivotButton="0" quotePrefix="0" xfId="0"/>
    <xf numFmtId="3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5" fontId="0" fillId="0" borderId="1" pivotButton="0" quotePrefix="0" xfId="0"/>
    <xf numFmtId="165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4" borderId="1" pivotButton="0" quotePrefix="0" xfId="0"/>
    <xf numFmtId="3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PK Taš011 — Korisnici + Grupe + Plaćanja (cela sezona 25/26)</t>
        </is>
      </c>
    </row>
    <row r="2">
      <c r="A2" s="2" t="inlineStr"/>
    </row>
    <row r="3">
      <c r="A3" s="3" t="inlineStr">
        <is>
          <t>KOLONE</t>
        </is>
      </c>
    </row>
    <row r="4">
      <c r="A4" s="2" t="inlineStr">
        <is>
          <t>• Mesečna cena = PRAVA cena iz spiska (Plivanje_Datumi v2). Narandžasto = cena 0.</t>
        </is>
      </c>
    </row>
    <row r="5">
      <c r="A5" s="2" t="inlineStr">
        <is>
          <t>• Aktivan = DA/NE padajući meni. Postavljeno NE automatski za cenu 0 (proveri).</t>
        </is>
      </c>
    </row>
    <row r="6">
      <c r="A6" s="2" t="inlineStr"/>
    </row>
    <row r="7">
      <c r="A7" s="3" t="inlineStr">
        <is>
          <t>MESECI — CELA SEZONA Okt 25 → Sep 26 (prve 3 kolone = 2025).</t>
        </is>
      </c>
    </row>
    <row r="8">
      <c r="A8" s="2" t="inlineStr">
        <is>
          <t>PLAĆANJA: ZELENO=platio · CRVENO 0=na spisku nije platio · PRAZNO=nije upisan tog meseca.</t>
        </is>
      </c>
    </row>
    <row r="9">
      <c r="A9" s="2" t="inlineStr"/>
    </row>
    <row r="10">
      <c r="A10" s="2" t="inlineStr">
        <is>
          <t>DATUM: crveno=placeholder 01.01.1900 · žuto=samo godina · belo=tačan.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2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7" customWidth="1" min="3" max="3"/>
    <col width="12" customWidth="1" min="4" max="4"/>
    <col width="17" customWidth="1" min="5" max="5"/>
    <col width="13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>
      <c r="A1" s="4" t="inlineStr">
        <is>
          <t>#</t>
        </is>
      </c>
      <c r="B1" s="4" t="inlineStr">
        <is>
          <t>Ime</t>
        </is>
      </c>
      <c r="C1" s="4" t="inlineStr">
        <is>
          <t>Prezime</t>
        </is>
      </c>
      <c r="D1" s="4" t="inlineStr">
        <is>
          <t>Datum rođenja</t>
        </is>
      </c>
      <c r="E1" s="4" t="inlineStr">
        <is>
          <t>Grupa (25/26)</t>
        </is>
      </c>
      <c r="F1" s="4" t="inlineStr">
        <is>
          <t>Klub</t>
        </is>
      </c>
      <c r="G1" s="4" t="inlineStr">
        <is>
          <t>Mesečna cena</t>
        </is>
      </c>
      <c r="H1" s="4" t="inlineStr">
        <is>
          <t>Aktivan</t>
        </is>
      </c>
      <c r="I1" s="5" t="inlineStr">
        <is>
          <t>Okt 25</t>
        </is>
      </c>
      <c r="J1" s="5" t="inlineStr">
        <is>
          <t>Nov 25</t>
        </is>
      </c>
      <c r="K1" s="5" t="inlineStr">
        <is>
          <t>Dec 25</t>
        </is>
      </c>
      <c r="L1" s="4" t="inlineStr">
        <is>
          <t>Jan 26</t>
        </is>
      </c>
      <c r="M1" s="4" t="inlineStr">
        <is>
          <t>Feb 26</t>
        </is>
      </c>
      <c r="N1" s="4" t="inlineStr">
        <is>
          <t>Mar 26</t>
        </is>
      </c>
      <c r="O1" s="4" t="inlineStr">
        <is>
          <t>Apr 26</t>
        </is>
      </c>
      <c r="P1" s="4" t="inlineStr">
        <is>
          <t>Maj 26</t>
        </is>
      </c>
      <c r="Q1" s="4" t="inlineStr">
        <is>
          <t>Jun 26</t>
        </is>
      </c>
      <c r="R1" s="4" t="inlineStr">
        <is>
          <t>Jul 26</t>
        </is>
      </c>
      <c r="S1" s="4" t="inlineStr">
        <is>
          <t>Avg 26</t>
        </is>
      </c>
      <c r="T1" s="4" t="inlineStr">
        <is>
          <t>Sep 26</t>
        </is>
      </c>
      <c r="U1" s="4" t="inlineStr">
        <is>
          <t>Ukupno</t>
        </is>
      </c>
      <c r="V1" s="4" t="inlineStr">
        <is>
          <t>Meseci plaćeno</t>
        </is>
      </c>
      <c r="W1" s="4" t="inlineStr">
        <is>
          <t>Meseci na spisku</t>
        </is>
      </c>
    </row>
    <row r="2">
      <c r="A2" s="6" t="n">
        <v>1</v>
      </c>
      <c r="B2" s="6" t="inlineStr">
        <is>
          <t>Viktor</t>
        </is>
      </c>
      <c r="C2" s="6" t="inlineStr">
        <is>
          <t>Milosavljević</t>
        </is>
      </c>
      <c r="D2" s="7" t="n">
        <v>1</v>
      </c>
      <c r="E2" s="6" t="inlineStr">
        <is>
          <t>Obuka</t>
        </is>
      </c>
      <c r="F2" s="6" t="inlineStr">
        <is>
          <t>PK Taš011</t>
        </is>
      </c>
      <c r="G2" s="8" t="n">
        <v>7000</v>
      </c>
      <c r="H2" s="9" t="inlineStr">
        <is>
          <t>DA</t>
        </is>
      </c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1" t="n">
        <v>7000</v>
      </c>
      <c r="U2" s="10">
        <f>SUM(I2:T2)</f>
        <v/>
      </c>
      <c r="V2" s="10">
        <f>COUNTIF(I2:T2,"&gt;0")</f>
        <v/>
      </c>
      <c r="W2" s="10">
        <f>COUNT(I2:T2)</f>
        <v/>
      </c>
    </row>
    <row r="3">
      <c r="A3" s="6" t="n">
        <v>2</v>
      </c>
      <c r="B3" s="6" t="inlineStr">
        <is>
          <t>Luka</t>
        </is>
      </c>
      <c r="C3" s="6" t="inlineStr">
        <is>
          <t>Jadžić</t>
        </is>
      </c>
      <c r="D3" s="12" t="n">
        <v>41906</v>
      </c>
      <c r="E3" s="6" t="inlineStr">
        <is>
          <t>Obuka</t>
        </is>
      </c>
      <c r="F3" s="6" t="inlineStr">
        <is>
          <t>PK Taš011</t>
        </is>
      </c>
      <c r="G3" s="8" t="n">
        <v>3500</v>
      </c>
      <c r="H3" s="9" t="inlineStr">
        <is>
          <t>DA</t>
        </is>
      </c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1" t="n">
        <v>7000</v>
      </c>
      <c r="U3" s="10">
        <f>SUM(I3:T3)</f>
        <v/>
      </c>
      <c r="V3" s="10">
        <f>COUNTIF(I3:T3,"&gt;0")</f>
        <v/>
      </c>
      <c r="W3" s="10">
        <f>COUNT(I3:T3)</f>
        <v/>
      </c>
    </row>
    <row r="4">
      <c r="A4" s="6" t="n">
        <v>3</v>
      </c>
      <c r="B4" s="6" t="inlineStr">
        <is>
          <t>Andrija</t>
        </is>
      </c>
      <c r="C4" s="6" t="inlineStr">
        <is>
          <t>Mladenović</t>
        </is>
      </c>
      <c r="D4" s="13" t="n">
        <v>40909</v>
      </c>
      <c r="E4" s="6" t="inlineStr">
        <is>
          <t>Obuka</t>
        </is>
      </c>
      <c r="F4" s="6" t="inlineStr">
        <is>
          <t>PK Taš011</t>
        </is>
      </c>
      <c r="G4" s="8" t="n">
        <v>7000</v>
      </c>
      <c r="H4" s="9" t="inlineStr">
        <is>
          <t>DA</t>
        </is>
      </c>
      <c r="I4" s="10" t="inlineStr"/>
      <c r="J4" s="10" t="inlineStr"/>
      <c r="K4" s="10" t="inlineStr"/>
      <c r="L4" s="10" t="inlineStr"/>
      <c r="M4" s="10" t="inlineStr"/>
      <c r="N4" s="11" t="n">
        <v>6000</v>
      </c>
      <c r="O4" s="11" t="n">
        <v>6000</v>
      </c>
      <c r="P4" s="11" t="n">
        <v>6000</v>
      </c>
      <c r="Q4" s="11" t="n">
        <v>6000</v>
      </c>
      <c r="R4" s="14" t="n">
        <v>0</v>
      </c>
      <c r="S4" s="14" t="n">
        <v>0</v>
      </c>
      <c r="T4" s="10" t="inlineStr"/>
      <c r="U4" s="10">
        <f>SUM(I4:T4)</f>
        <v/>
      </c>
      <c r="V4" s="10">
        <f>COUNTIF(I4:T4,"&gt;0")</f>
        <v/>
      </c>
      <c r="W4" s="10">
        <f>COUNT(I4:T4)</f>
        <v/>
      </c>
    </row>
    <row r="5">
      <c r="A5" s="6" t="n">
        <v>4</v>
      </c>
      <c r="B5" s="6" t="inlineStr">
        <is>
          <t>Klara</t>
        </is>
      </c>
      <c r="C5" s="6" t="inlineStr">
        <is>
          <t>Ićitović</t>
        </is>
      </c>
      <c r="D5" s="13" t="n">
        <v>41640</v>
      </c>
      <c r="E5" s="6" t="inlineStr">
        <is>
          <t>Obuka</t>
        </is>
      </c>
      <c r="F5" s="6" t="inlineStr">
        <is>
          <t>PK Taš011</t>
        </is>
      </c>
      <c r="G5" s="8" t="n">
        <v>7000</v>
      </c>
      <c r="H5" s="9" t="inlineStr">
        <is>
          <t>DA</t>
        </is>
      </c>
      <c r="I5" s="10" t="inlineStr"/>
      <c r="J5" s="10" t="inlineStr"/>
      <c r="K5" s="10" t="inlineStr"/>
      <c r="L5" s="10" t="inlineStr"/>
      <c r="M5" s="11" t="n">
        <v>6000</v>
      </c>
      <c r="N5" s="11" t="n">
        <v>6000</v>
      </c>
      <c r="O5" s="11" t="n">
        <v>6000</v>
      </c>
      <c r="P5" s="11" t="n">
        <v>6000</v>
      </c>
      <c r="Q5" s="11" t="n">
        <v>6000</v>
      </c>
      <c r="R5" s="14" t="n">
        <v>0</v>
      </c>
      <c r="S5" s="14" t="n">
        <v>0</v>
      </c>
      <c r="T5" s="11" t="n">
        <v>5000</v>
      </c>
      <c r="U5" s="10">
        <f>SUM(I5:T5)</f>
        <v/>
      </c>
      <c r="V5" s="10">
        <f>COUNTIF(I5:T5,"&gt;0")</f>
        <v/>
      </c>
      <c r="W5" s="10">
        <f>COUNT(I5:T5)</f>
        <v/>
      </c>
    </row>
    <row r="6">
      <c r="A6" s="6" t="n">
        <v>5</v>
      </c>
      <c r="B6" s="6" t="inlineStr">
        <is>
          <t>Kalina</t>
        </is>
      </c>
      <c r="C6" s="6" t="inlineStr">
        <is>
          <t>Ićitović</t>
        </is>
      </c>
      <c r="D6" s="13" t="n">
        <v>40909</v>
      </c>
      <c r="E6" s="6" t="inlineStr">
        <is>
          <t>Obuka</t>
        </is>
      </c>
      <c r="F6" s="6" t="inlineStr">
        <is>
          <t>PK Taš011</t>
        </is>
      </c>
      <c r="G6" s="8" t="n">
        <v>3500</v>
      </c>
      <c r="H6" s="9" t="inlineStr">
        <is>
          <t>DA</t>
        </is>
      </c>
      <c r="I6" s="10" t="inlineStr"/>
      <c r="J6" s="10" t="inlineStr"/>
      <c r="K6" s="10" t="inlineStr"/>
      <c r="L6" s="10" t="inlineStr"/>
      <c r="M6" s="11" t="n">
        <v>3000</v>
      </c>
      <c r="N6" s="11" t="n">
        <v>3000</v>
      </c>
      <c r="O6" s="11" t="n">
        <v>3000</v>
      </c>
      <c r="P6" s="11" t="n">
        <v>3000</v>
      </c>
      <c r="Q6" s="11" t="n">
        <v>3000</v>
      </c>
      <c r="R6" s="14" t="n">
        <v>0</v>
      </c>
      <c r="S6" s="14" t="n">
        <v>0</v>
      </c>
      <c r="T6" s="11" t="n">
        <v>2500</v>
      </c>
      <c r="U6" s="10">
        <f>SUM(I6:T6)</f>
        <v/>
      </c>
      <c r="V6" s="10">
        <f>COUNTIF(I6:T6,"&gt;0")</f>
        <v/>
      </c>
      <c r="W6" s="10">
        <f>COUNT(I6:T6)</f>
        <v/>
      </c>
    </row>
    <row r="7">
      <c r="A7" s="6" t="n">
        <v>6</v>
      </c>
      <c r="B7" s="6" t="inlineStr">
        <is>
          <t>Aleksandar</t>
        </is>
      </c>
      <c r="C7" s="6" t="inlineStr">
        <is>
          <t>Ivanovic</t>
        </is>
      </c>
      <c r="D7" s="12" t="n">
        <v>41737</v>
      </c>
      <c r="E7" s="6" t="inlineStr">
        <is>
          <t>Obuka</t>
        </is>
      </c>
      <c r="F7" s="6" t="inlineStr">
        <is>
          <t>PK Taš011</t>
        </is>
      </c>
      <c r="G7" s="8" t="n">
        <v>7000</v>
      </c>
      <c r="H7" s="9" t="inlineStr">
        <is>
          <t>DA</t>
        </is>
      </c>
      <c r="I7" s="11" t="n">
        <v>6000</v>
      </c>
      <c r="J7" s="11" t="n">
        <v>6000</v>
      </c>
      <c r="K7" s="11" t="n">
        <v>6000</v>
      </c>
      <c r="L7" s="11" t="n">
        <v>3000</v>
      </c>
      <c r="M7" s="11" t="n">
        <v>6000</v>
      </c>
      <c r="N7" s="11" t="n">
        <v>6000</v>
      </c>
      <c r="O7" s="11" t="n">
        <v>6000</v>
      </c>
      <c r="P7" s="14" t="n">
        <v>0</v>
      </c>
      <c r="Q7" s="14" t="n">
        <v>0</v>
      </c>
      <c r="R7" s="14" t="n">
        <v>0</v>
      </c>
      <c r="S7" s="11" t="n">
        <v>3000</v>
      </c>
      <c r="T7" s="11" t="n">
        <v>7000</v>
      </c>
      <c r="U7" s="10">
        <f>SUM(I7:T7)</f>
        <v/>
      </c>
      <c r="V7" s="10">
        <f>COUNTIF(I7:T7,"&gt;0")</f>
        <v/>
      </c>
      <c r="W7" s="10">
        <f>COUNT(I7:T7)</f>
        <v/>
      </c>
    </row>
    <row r="8">
      <c r="A8" s="6" t="n">
        <v>7</v>
      </c>
      <c r="B8" s="6" t="inlineStr">
        <is>
          <t>Danija</t>
        </is>
      </c>
      <c r="C8" s="6" t="inlineStr">
        <is>
          <t>Hebilji</t>
        </is>
      </c>
      <c r="D8" s="12" t="n">
        <v>42741</v>
      </c>
      <c r="E8" s="6" t="inlineStr">
        <is>
          <t>Obuka</t>
        </is>
      </c>
      <c r="F8" s="6" t="inlineStr">
        <is>
          <t>PK Taš011</t>
        </is>
      </c>
      <c r="G8" s="8" t="n">
        <v>7000</v>
      </c>
      <c r="H8" s="9" t="inlineStr">
        <is>
          <t>DA</t>
        </is>
      </c>
      <c r="I8" s="10" t="inlineStr"/>
      <c r="J8" s="10" t="inlineStr"/>
      <c r="K8" s="10" t="inlineStr"/>
      <c r="L8" s="10" t="inlineStr"/>
      <c r="M8" s="11" t="n">
        <v>6000</v>
      </c>
      <c r="N8" s="11" t="n">
        <v>6000</v>
      </c>
      <c r="O8" s="11" t="n">
        <v>6000</v>
      </c>
      <c r="P8" s="11" t="n">
        <v>6000</v>
      </c>
      <c r="Q8" s="11" t="n">
        <v>6000</v>
      </c>
      <c r="R8" s="14" t="n">
        <v>0</v>
      </c>
      <c r="S8" s="14" t="n">
        <v>0</v>
      </c>
      <c r="T8" s="11" t="n">
        <v>7000</v>
      </c>
      <c r="U8" s="10">
        <f>SUM(I8:T8)</f>
        <v/>
      </c>
      <c r="V8" s="10">
        <f>COUNTIF(I8:T8,"&gt;0")</f>
        <v/>
      </c>
      <c r="W8" s="10">
        <f>COUNT(I8:T8)</f>
        <v/>
      </c>
    </row>
    <row r="9">
      <c r="A9" s="6" t="n">
        <v>8</v>
      </c>
      <c r="B9" s="6" t="inlineStr">
        <is>
          <t>Ognjen</t>
        </is>
      </c>
      <c r="C9" s="6" t="inlineStr">
        <is>
          <t>Premović</t>
        </is>
      </c>
      <c r="D9" s="12" t="n">
        <v>41898</v>
      </c>
      <c r="E9" s="6" t="inlineStr">
        <is>
          <t>Obuka</t>
        </is>
      </c>
      <c r="F9" s="6" t="inlineStr">
        <is>
          <t>PK Taš011</t>
        </is>
      </c>
      <c r="G9" s="8" t="n">
        <v>7000</v>
      </c>
      <c r="H9" s="9" t="inlineStr">
        <is>
          <t>DA</t>
        </is>
      </c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1" t="n">
        <v>7000</v>
      </c>
      <c r="U9" s="10">
        <f>SUM(I9:T9)</f>
        <v/>
      </c>
      <c r="V9" s="10">
        <f>COUNTIF(I9:T9,"&gt;0")</f>
        <v/>
      </c>
      <c r="W9" s="10">
        <f>COUNT(I9:T9)</f>
        <v/>
      </c>
    </row>
    <row r="10">
      <c r="A10" s="6" t="n">
        <v>9</v>
      </c>
      <c r="B10" s="6" t="inlineStr">
        <is>
          <t>Bogdan</t>
        </is>
      </c>
      <c r="C10" s="6" t="inlineStr">
        <is>
          <t>Stanisavljević</t>
        </is>
      </c>
      <c r="D10" s="12" t="n">
        <v>42017</v>
      </c>
      <c r="E10" s="6" t="inlineStr">
        <is>
          <t>Obuka</t>
        </is>
      </c>
      <c r="F10" s="6" t="inlineStr">
        <is>
          <t>PK Taš011</t>
        </is>
      </c>
      <c r="G10" s="8" t="n">
        <v>7000</v>
      </c>
      <c r="H10" s="9" t="inlineStr">
        <is>
          <t>DA</t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1" t="n">
        <v>7000</v>
      </c>
      <c r="U10" s="10">
        <f>SUM(I10:T10)</f>
        <v/>
      </c>
      <c r="V10" s="10">
        <f>COUNTIF(I10:T10,"&gt;0")</f>
        <v/>
      </c>
      <c r="W10" s="10">
        <f>COUNT(I10:T10)</f>
        <v/>
      </c>
    </row>
    <row r="11">
      <c r="A11" s="6" t="n">
        <v>10</v>
      </c>
      <c r="B11" s="6" t="inlineStr">
        <is>
          <t>Aleksandar</t>
        </is>
      </c>
      <c r="C11" s="6" t="inlineStr">
        <is>
          <t>Stefanović</t>
        </is>
      </c>
      <c r="D11" s="13" t="n">
        <v>41275</v>
      </c>
      <c r="E11" s="6" t="inlineStr">
        <is>
          <t>Obuka</t>
        </is>
      </c>
      <c r="F11" s="6" t="inlineStr">
        <is>
          <t>PK Taš011</t>
        </is>
      </c>
      <c r="G11" s="8" t="n">
        <v>7000</v>
      </c>
      <c r="H11" s="9" t="inlineStr">
        <is>
          <t>DA</t>
        </is>
      </c>
      <c r="I11" s="10" t="inlineStr"/>
      <c r="J11" s="10" t="inlineStr"/>
      <c r="K11" s="10" t="inlineStr"/>
      <c r="L11" s="10" t="inlineStr"/>
      <c r="M11" s="10" t="inlineStr"/>
      <c r="N11" s="11" t="n">
        <v>6000</v>
      </c>
      <c r="O11" s="11" t="n">
        <v>6000</v>
      </c>
      <c r="P11" s="11" t="n">
        <v>6000</v>
      </c>
      <c r="Q11" s="11" t="n">
        <v>6000</v>
      </c>
      <c r="R11" s="14" t="n">
        <v>0</v>
      </c>
      <c r="S11" s="14" t="n">
        <v>0</v>
      </c>
      <c r="T11" s="10" t="inlineStr"/>
      <c r="U11" s="10">
        <f>SUM(I11:T11)</f>
        <v/>
      </c>
      <c r="V11" s="10">
        <f>COUNTIF(I11:T11,"&gt;0")</f>
        <v/>
      </c>
      <c r="W11" s="10">
        <f>COUNT(I11:T11)</f>
        <v/>
      </c>
    </row>
    <row r="12">
      <c r="A12" s="6" t="n">
        <v>11</v>
      </c>
      <c r="B12" s="6" t="inlineStr">
        <is>
          <t>Jovana</t>
        </is>
      </c>
      <c r="C12" s="6" t="inlineStr">
        <is>
          <t>Radovic</t>
        </is>
      </c>
      <c r="D12" s="13" t="n">
        <v>41640</v>
      </c>
      <c r="E12" s="6" t="inlineStr">
        <is>
          <t>Obuka</t>
        </is>
      </c>
      <c r="F12" s="6" t="inlineStr">
        <is>
          <t>PK Taš011</t>
        </is>
      </c>
      <c r="G12" s="8" t="n">
        <v>7000</v>
      </c>
      <c r="H12" s="9" t="inlineStr">
        <is>
          <t>DA</t>
        </is>
      </c>
      <c r="I12" s="11" t="n">
        <v>6000</v>
      </c>
      <c r="J12" s="11" t="n">
        <v>6000</v>
      </c>
      <c r="K12" s="14" t="n">
        <v>0</v>
      </c>
      <c r="L12" s="14" t="n">
        <v>0</v>
      </c>
      <c r="M12" s="14" t="n">
        <v>0</v>
      </c>
      <c r="N12" s="14" t="n">
        <v>0</v>
      </c>
      <c r="O12" s="11" t="n">
        <v>6000</v>
      </c>
      <c r="P12" s="11" t="n">
        <v>6000</v>
      </c>
      <c r="Q12" s="14" t="n">
        <v>0</v>
      </c>
      <c r="R12" s="14" t="n">
        <v>0</v>
      </c>
      <c r="S12" s="14" t="n">
        <v>0</v>
      </c>
      <c r="T12" s="10" t="inlineStr"/>
      <c r="U12" s="10">
        <f>SUM(I12:T12)</f>
        <v/>
      </c>
      <c r="V12" s="10">
        <f>COUNTIF(I12:T12,"&gt;0")</f>
        <v/>
      </c>
      <c r="W12" s="10">
        <f>COUNT(I12:T12)</f>
        <v/>
      </c>
    </row>
    <row r="13">
      <c r="A13" s="6" t="n">
        <v>12</v>
      </c>
      <c r="B13" s="6" t="inlineStr">
        <is>
          <t>Mila</t>
        </is>
      </c>
      <c r="C13" s="6" t="inlineStr">
        <is>
          <t>Đukić</t>
        </is>
      </c>
      <c r="D13" s="13" t="n">
        <v>41640</v>
      </c>
      <c r="E13" s="6" t="inlineStr">
        <is>
          <t>Obuka</t>
        </is>
      </c>
      <c r="F13" s="6" t="inlineStr">
        <is>
          <t>PK Taš011</t>
        </is>
      </c>
      <c r="G13" s="8" t="n">
        <v>7000</v>
      </c>
      <c r="H13" s="9" t="inlineStr">
        <is>
          <t>DA</t>
        </is>
      </c>
      <c r="I13" s="10" t="inlineStr"/>
      <c r="J13" s="11" t="n">
        <v>6000</v>
      </c>
      <c r="K13" s="11" t="n">
        <v>6000</v>
      </c>
      <c r="L13" s="11" t="n">
        <v>6000</v>
      </c>
      <c r="M13" s="11" t="n">
        <v>6000</v>
      </c>
      <c r="N13" s="11" t="n">
        <v>6000</v>
      </c>
      <c r="O13" s="11" t="n">
        <v>6000</v>
      </c>
      <c r="P13" s="11" t="n">
        <v>6000</v>
      </c>
      <c r="Q13" s="14" t="n">
        <v>0</v>
      </c>
      <c r="R13" s="14" t="n">
        <v>0</v>
      </c>
      <c r="S13" s="11" t="n">
        <v>6000</v>
      </c>
      <c r="T13" s="14" t="n">
        <v>0</v>
      </c>
      <c r="U13" s="10">
        <f>SUM(I13:T13)</f>
        <v/>
      </c>
      <c r="V13" s="10">
        <f>COUNTIF(I13:T13,"&gt;0")</f>
        <v/>
      </c>
      <c r="W13" s="10">
        <f>COUNT(I13:T13)</f>
        <v/>
      </c>
    </row>
    <row r="14">
      <c r="A14" s="6" t="n">
        <v>13</v>
      </c>
      <c r="B14" s="6" t="inlineStr">
        <is>
          <t>Stefan</t>
        </is>
      </c>
      <c r="C14" s="6" t="inlineStr">
        <is>
          <t>Lukić</t>
        </is>
      </c>
      <c r="D14" s="7" t="n">
        <v>1</v>
      </c>
      <c r="E14" s="6" t="inlineStr">
        <is>
          <t>Obuka</t>
        </is>
      </c>
      <c r="F14" s="6" t="inlineStr">
        <is>
          <t>PK Taš011</t>
        </is>
      </c>
      <c r="G14" s="8" t="n">
        <v>7000</v>
      </c>
      <c r="H14" s="9" t="inlineStr">
        <is>
          <t>DA</t>
        </is>
      </c>
      <c r="I14" s="10" t="inlineStr"/>
      <c r="J14" s="11" t="n">
        <v>6000</v>
      </c>
      <c r="K14" s="11" t="n">
        <v>6000</v>
      </c>
      <c r="L14" s="11" t="n">
        <v>6000</v>
      </c>
      <c r="M14" s="11" t="n">
        <v>6000</v>
      </c>
      <c r="N14" s="11" t="n">
        <v>6000</v>
      </c>
      <c r="O14" s="11" t="n">
        <v>6000</v>
      </c>
      <c r="P14" s="11" t="n">
        <v>6000</v>
      </c>
      <c r="Q14" s="14" t="n">
        <v>0</v>
      </c>
      <c r="R14" s="14" t="n">
        <v>0</v>
      </c>
      <c r="S14" s="14" t="n">
        <v>0</v>
      </c>
      <c r="T14" s="10" t="inlineStr"/>
      <c r="U14" s="10">
        <f>SUM(I14:T14)</f>
        <v/>
      </c>
      <c r="V14" s="10">
        <f>COUNTIF(I14:T14,"&gt;0")</f>
        <v/>
      </c>
      <c r="W14" s="10">
        <f>COUNT(I14:T14)</f>
        <v/>
      </c>
    </row>
    <row r="15">
      <c r="A15" s="6" t="n">
        <v>14</v>
      </c>
      <c r="B15" s="6" t="inlineStr">
        <is>
          <t>Helena</t>
        </is>
      </c>
      <c r="C15" s="6" t="inlineStr">
        <is>
          <t>Lukić</t>
        </is>
      </c>
      <c r="D15" s="12" t="n">
        <v>41393</v>
      </c>
      <c r="E15" s="6" t="inlineStr">
        <is>
          <t>Obuka</t>
        </is>
      </c>
      <c r="F15" s="6" t="inlineStr">
        <is>
          <t>PK Taš011</t>
        </is>
      </c>
      <c r="G15" s="8" t="n">
        <v>7000</v>
      </c>
      <c r="H15" s="9" t="inlineStr">
        <is>
          <t>DA</t>
        </is>
      </c>
      <c r="I15" s="10" t="inlineStr"/>
      <c r="J15" s="10" t="inlineStr"/>
      <c r="K15" s="10" t="inlineStr"/>
      <c r="L15" s="10" t="inlineStr"/>
      <c r="M15" s="11" t="n">
        <v>3000</v>
      </c>
      <c r="N15" s="11" t="n">
        <v>6000</v>
      </c>
      <c r="O15" s="11" t="n">
        <v>6000</v>
      </c>
      <c r="P15" s="11" t="n">
        <v>6000</v>
      </c>
      <c r="Q15" s="11" t="n">
        <v>6000</v>
      </c>
      <c r="R15" s="11" t="n">
        <v>6000</v>
      </c>
      <c r="S15" s="14" t="n">
        <v>0</v>
      </c>
      <c r="T15" s="11" t="n">
        <v>7000</v>
      </c>
      <c r="U15" s="10">
        <f>SUM(I15:T15)</f>
        <v/>
      </c>
      <c r="V15" s="10">
        <f>COUNTIF(I15:T15,"&gt;0")</f>
        <v/>
      </c>
      <c r="W15" s="10">
        <f>COUNT(I15:T15)</f>
        <v/>
      </c>
    </row>
    <row r="16">
      <c r="A16" s="6" t="n">
        <v>15</v>
      </c>
      <c r="B16" s="6" t="inlineStr">
        <is>
          <t>Đorđe</t>
        </is>
      </c>
      <c r="C16" s="6" t="inlineStr">
        <is>
          <t>Lukić</t>
        </is>
      </c>
      <c r="D16" s="12" t="n">
        <v>42765</v>
      </c>
      <c r="E16" s="6" t="inlineStr">
        <is>
          <t>Obuka</t>
        </is>
      </c>
      <c r="F16" s="6" t="inlineStr">
        <is>
          <t>PK Taš011</t>
        </is>
      </c>
      <c r="G16" s="8" t="n">
        <v>3500</v>
      </c>
      <c r="H16" s="9" t="inlineStr">
        <is>
          <t>DA</t>
        </is>
      </c>
      <c r="I16" s="10" t="inlineStr"/>
      <c r="J16" s="10" t="inlineStr"/>
      <c r="K16" s="10" t="inlineStr"/>
      <c r="L16" s="10" t="inlineStr"/>
      <c r="M16" s="11" t="n">
        <v>6000</v>
      </c>
      <c r="N16" s="11" t="n">
        <v>3000</v>
      </c>
      <c r="O16" s="11" t="n">
        <v>3000</v>
      </c>
      <c r="P16" s="11" t="n">
        <v>3000</v>
      </c>
      <c r="Q16" s="11" t="n">
        <v>3000</v>
      </c>
      <c r="R16" s="11" t="n">
        <v>3000</v>
      </c>
      <c r="S16" s="14" t="n">
        <v>0</v>
      </c>
      <c r="T16" s="11" t="n">
        <v>3500</v>
      </c>
      <c r="U16" s="10">
        <f>SUM(I16:T16)</f>
        <v/>
      </c>
      <c r="V16" s="10">
        <f>COUNTIF(I16:T16,"&gt;0")</f>
        <v/>
      </c>
      <c r="W16" s="10">
        <f>COUNT(I16:T16)</f>
        <v/>
      </c>
    </row>
    <row r="17">
      <c r="A17" s="6" t="n">
        <v>16</v>
      </c>
      <c r="B17" s="6" t="inlineStr">
        <is>
          <t>Milica</t>
        </is>
      </c>
      <c r="C17" s="6" t="inlineStr">
        <is>
          <t>Momčilović</t>
        </is>
      </c>
      <c r="D17" s="12" t="n">
        <v>41102</v>
      </c>
      <c r="E17" s="6" t="inlineStr">
        <is>
          <t>Obuka</t>
        </is>
      </c>
      <c r="F17" s="6" t="inlineStr">
        <is>
          <t>PK Taš011</t>
        </is>
      </c>
      <c r="G17" s="8" t="n">
        <v>7000</v>
      </c>
      <c r="H17" s="9" t="inlineStr">
        <is>
          <t>DA</t>
        </is>
      </c>
      <c r="I17" s="11" t="n">
        <v>6000</v>
      </c>
      <c r="J17" s="11" t="n">
        <v>6000</v>
      </c>
      <c r="K17" s="11" t="n">
        <v>6000</v>
      </c>
      <c r="L17" s="11" t="n">
        <v>6000</v>
      </c>
      <c r="M17" s="11" t="n">
        <v>6000</v>
      </c>
      <c r="N17" s="11" t="n">
        <v>6000</v>
      </c>
      <c r="O17" s="11" t="n">
        <v>6000</v>
      </c>
      <c r="P17" s="11" t="n">
        <v>6000</v>
      </c>
      <c r="Q17" s="11" t="n">
        <v>6000</v>
      </c>
      <c r="R17" s="11" t="n">
        <v>6000</v>
      </c>
      <c r="S17" s="11" t="n">
        <v>6000</v>
      </c>
      <c r="T17" s="11" t="n">
        <v>7000</v>
      </c>
      <c r="U17" s="10">
        <f>SUM(I17:T17)</f>
        <v/>
      </c>
      <c r="V17" s="10">
        <f>COUNTIF(I17:T17,"&gt;0")</f>
        <v/>
      </c>
      <c r="W17" s="10">
        <f>COUNT(I17:T17)</f>
        <v/>
      </c>
    </row>
    <row r="18">
      <c r="A18" s="6" t="n">
        <v>17</v>
      </c>
      <c r="B18" s="6" t="inlineStr">
        <is>
          <t>Damjan</t>
        </is>
      </c>
      <c r="C18" s="6" t="inlineStr">
        <is>
          <t>Milenković</t>
        </is>
      </c>
      <c r="D18" s="13" t="n">
        <v>40909</v>
      </c>
      <c r="E18" s="6" t="inlineStr">
        <is>
          <t>Obuka</t>
        </is>
      </c>
      <c r="F18" s="6" t="inlineStr">
        <is>
          <t>PK Taš011</t>
        </is>
      </c>
      <c r="G18" s="8" t="n">
        <v>7000</v>
      </c>
      <c r="H18" s="9" t="inlineStr">
        <is>
          <t>DA</t>
        </is>
      </c>
      <c r="I18" s="14" t="n">
        <v>0</v>
      </c>
      <c r="J18" s="11" t="n">
        <v>6000</v>
      </c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1" t="n">
        <v>7000</v>
      </c>
      <c r="U18" s="10">
        <f>SUM(I18:T18)</f>
        <v/>
      </c>
      <c r="V18" s="10">
        <f>COUNTIF(I18:T18,"&gt;0")</f>
        <v/>
      </c>
      <c r="W18" s="10">
        <f>COUNT(I18:T18)</f>
        <v/>
      </c>
    </row>
    <row r="19">
      <c r="A19" s="6" t="n">
        <v>18</v>
      </c>
      <c r="B19" s="6" t="inlineStr">
        <is>
          <t>Nevena</t>
        </is>
      </c>
      <c r="C19" s="6" t="inlineStr">
        <is>
          <t>Ajdukovic</t>
        </is>
      </c>
      <c r="D19" s="13" t="n">
        <v>42370</v>
      </c>
      <c r="E19" s="6" t="inlineStr">
        <is>
          <t>Obuka</t>
        </is>
      </c>
      <c r="F19" s="6" t="inlineStr">
        <is>
          <t>PK Taš011</t>
        </is>
      </c>
      <c r="G19" s="8" t="n">
        <v>3500</v>
      </c>
      <c r="H19" s="9" t="inlineStr">
        <is>
          <t>DA</t>
        </is>
      </c>
      <c r="I19" s="11" t="n">
        <v>3000</v>
      </c>
      <c r="J19" s="11" t="n">
        <v>6000</v>
      </c>
      <c r="K19" s="11" t="n">
        <v>3000</v>
      </c>
      <c r="L19" s="11" t="n">
        <v>2000</v>
      </c>
      <c r="M19" s="11" t="n">
        <v>3000</v>
      </c>
      <c r="N19" s="11" t="n">
        <v>3000</v>
      </c>
      <c r="O19" s="11" t="n">
        <v>3000</v>
      </c>
      <c r="P19" s="11" t="n">
        <v>3000</v>
      </c>
      <c r="Q19" s="11" t="n">
        <v>2250</v>
      </c>
      <c r="R19" s="14" t="n">
        <v>0</v>
      </c>
      <c r="S19" s="14" t="n">
        <v>0</v>
      </c>
      <c r="T19" s="14" t="n">
        <v>0</v>
      </c>
      <c r="U19" s="10">
        <f>SUM(I19:T19)</f>
        <v/>
      </c>
      <c r="V19" s="10">
        <f>COUNTIF(I19:T19,"&gt;0")</f>
        <v/>
      </c>
      <c r="W19" s="10">
        <f>COUNT(I19:T19)</f>
        <v/>
      </c>
    </row>
    <row r="20">
      <c r="A20" s="6" t="n">
        <v>19</v>
      </c>
      <c r="B20" s="6" t="inlineStr">
        <is>
          <t>Matija</t>
        </is>
      </c>
      <c r="C20" s="6" t="inlineStr">
        <is>
          <t>Petrović</t>
        </is>
      </c>
      <c r="D20" s="12" t="n">
        <v>42969</v>
      </c>
      <c r="E20" s="6" t="inlineStr">
        <is>
          <t>Obuka</t>
        </is>
      </c>
      <c r="F20" s="6" t="inlineStr">
        <is>
          <t>PK Taš011</t>
        </is>
      </c>
      <c r="G20" s="8" t="n">
        <v>7000</v>
      </c>
      <c r="H20" s="9" t="inlineStr">
        <is>
          <t>DA</t>
        </is>
      </c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1" t="n">
        <v>3500</v>
      </c>
      <c r="U20" s="10">
        <f>SUM(I20:T20)</f>
        <v/>
      </c>
      <c r="V20" s="10">
        <f>COUNTIF(I20:T20,"&gt;0")</f>
        <v/>
      </c>
      <c r="W20" s="10">
        <f>COUNT(I20:T20)</f>
        <v/>
      </c>
    </row>
    <row r="21">
      <c r="A21" s="6" t="n">
        <v>20</v>
      </c>
      <c r="B21" s="6" t="inlineStr">
        <is>
          <t>Milica</t>
        </is>
      </c>
      <c r="C21" s="6" t="inlineStr">
        <is>
          <t>Dedovic</t>
        </is>
      </c>
      <c r="D21" s="12" t="n">
        <v>43755</v>
      </c>
      <c r="E21" s="6" t="inlineStr">
        <is>
          <t>Obuka</t>
        </is>
      </c>
      <c r="F21" s="6" t="inlineStr">
        <is>
          <t>PK Taš011</t>
        </is>
      </c>
      <c r="G21" s="8" t="n">
        <v>7000</v>
      </c>
      <c r="H21" s="9" t="inlineStr">
        <is>
          <t>DA</t>
        </is>
      </c>
      <c r="I21" s="11" t="n">
        <v>6000</v>
      </c>
      <c r="J21" s="11" t="n">
        <v>6000</v>
      </c>
      <c r="K21" s="11" t="n">
        <v>6000</v>
      </c>
      <c r="L21" s="11" t="n">
        <v>6000</v>
      </c>
      <c r="M21" s="11" t="n">
        <v>6000</v>
      </c>
      <c r="N21" s="11" t="n">
        <v>6000</v>
      </c>
      <c r="O21" s="11" t="n">
        <v>6000</v>
      </c>
      <c r="P21" s="11" t="n">
        <v>6000</v>
      </c>
      <c r="Q21" s="11" t="n">
        <v>6000</v>
      </c>
      <c r="R21" s="11" t="n">
        <v>6000</v>
      </c>
      <c r="S21" s="14" t="n">
        <v>0</v>
      </c>
      <c r="T21" s="11" t="n">
        <v>7500</v>
      </c>
      <c r="U21" s="10">
        <f>SUM(I21:T21)</f>
        <v/>
      </c>
      <c r="V21" s="10">
        <f>COUNTIF(I21:T21,"&gt;0")</f>
        <v/>
      </c>
      <c r="W21" s="10">
        <f>COUNT(I21:T21)</f>
        <v/>
      </c>
    </row>
    <row r="22">
      <c r="A22" s="6" t="n">
        <v>21</v>
      </c>
      <c r="B22" s="6" t="inlineStr">
        <is>
          <t>Ema</t>
        </is>
      </c>
      <c r="C22" s="6" t="inlineStr">
        <is>
          <t>Hebilji</t>
        </is>
      </c>
      <c r="D22" s="13" t="n">
        <v>42370</v>
      </c>
      <c r="E22" s="6" t="inlineStr">
        <is>
          <t>Obuka</t>
        </is>
      </c>
      <c r="F22" s="6" t="inlineStr">
        <is>
          <t>PK Taš011</t>
        </is>
      </c>
      <c r="G22" s="8" t="n">
        <v>7000</v>
      </c>
      <c r="H22" s="9" t="inlineStr">
        <is>
          <t>DA</t>
        </is>
      </c>
      <c r="I22" s="10" t="inlineStr"/>
      <c r="J22" s="11" t="n">
        <v>2500</v>
      </c>
      <c r="K22" s="11" t="n">
        <v>6000</v>
      </c>
      <c r="L22" s="11" t="n">
        <v>6000</v>
      </c>
      <c r="M22" s="11" t="n">
        <v>3000</v>
      </c>
      <c r="N22" s="11" t="n">
        <v>6000</v>
      </c>
      <c r="O22" s="11" t="n">
        <v>6000</v>
      </c>
      <c r="P22" s="11" t="n">
        <v>6000</v>
      </c>
      <c r="Q22" s="11" t="n">
        <v>6000</v>
      </c>
      <c r="R22" s="14" t="n">
        <v>0</v>
      </c>
      <c r="S22" s="14" t="n">
        <v>0</v>
      </c>
      <c r="T22" s="11" t="n">
        <v>7000</v>
      </c>
      <c r="U22" s="10">
        <f>SUM(I22:T22)</f>
        <v/>
      </c>
      <c r="V22" s="10">
        <f>COUNTIF(I22:T22,"&gt;0")</f>
        <v/>
      </c>
      <c r="W22" s="10">
        <f>COUNT(I22:T22)</f>
        <v/>
      </c>
    </row>
    <row r="23">
      <c r="A23" s="6" t="n">
        <v>22</v>
      </c>
      <c r="B23" s="6" t="inlineStr">
        <is>
          <t>David</t>
        </is>
      </c>
      <c r="C23" s="6" t="inlineStr">
        <is>
          <t>Hebilji</t>
        </is>
      </c>
      <c r="D23" s="12" t="n">
        <v>43625</v>
      </c>
      <c r="E23" s="6" t="inlineStr">
        <is>
          <t>Obuka</t>
        </is>
      </c>
      <c r="F23" s="6" t="inlineStr">
        <is>
          <t>PK Taš011</t>
        </is>
      </c>
      <c r="G23" s="8" t="n">
        <v>3500</v>
      </c>
      <c r="H23" s="9" t="inlineStr">
        <is>
          <t>DA</t>
        </is>
      </c>
      <c r="I23" s="10" t="inlineStr"/>
      <c r="J23" s="11" t="n">
        <v>2000</v>
      </c>
      <c r="K23" s="11" t="n">
        <v>3000</v>
      </c>
      <c r="L23" s="11" t="n">
        <v>3000</v>
      </c>
      <c r="M23" s="11" t="n">
        <v>6000</v>
      </c>
      <c r="N23" s="11" t="n">
        <v>3000</v>
      </c>
      <c r="O23" s="11" t="n">
        <v>3000</v>
      </c>
      <c r="P23" s="11" t="n">
        <v>3000</v>
      </c>
      <c r="Q23" s="11" t="n">
        <v>3000</v>
      </c>
      <c r="R23" s="14" t="n">
        <v>0</v>
      </c>
      <c r="S23" s="14" t="n">
        <v>0</v>
      </c>
      <c r="T23" s="11" t="n">
        <v>3500</v>
      </c>
      <c r="U23" s="10">
        <f>SUM(I23:T23)</f>
        <v/>
      </c>
      <c r="V23" s="10">
        <f>COUNTIF(I23:T23,"&gt;0")</f>
        <v/>
      </c>
      <c r="W23" s="10">
        <f>COUNT(I23:T23)</f>
        <v/>
      </c>
    </row>
    <row r="24">
      <c r="A24" s="6" t="n">
        <v>23</v>
      </c>
      <c r="B24" s="6" t="inlineStr">
        <is>
          <t>Dunja</t>
        </is>
      </c>
      <c r="C24" s="6" t="inlineStr">
        <is>
          <t>Dimčić</t>
        </is>
      </c>
      <c r="D24" s="13" t="n">
        <v>42736</v>
      </c>
      <c r="E24" s="6" t="inlineStr">
        <is>
          <t>Obuka</t>
        </is>
      </c>
      <c r="F24" s="6" t="inlineStr">
        <is>
          <t>PK Taš011</t>
        </is>
      </c>
      <c r="G24" s="8" t="n">
        <v>7000</v>
      </c>
      <c r="H24" s="9" t="inlineStr">
        <is>
          <t>DA</t>
        </is>
      </c>
      <c r="I24" s="10" t="inlineStr"/>
      <c r="J24" s="10" t="inlineStr"/>
      <c r="K24" s="10" t="inlineStr"/>
      <c r="L24" s="10" t="inlineStr"/>
      <c r="M24" s="11" t="n">
        <v>6000</v>
      </c>
      <c r="N24" s="11" t="n">
        <v>6000</v>
      </c>
      <c r="O24" s="11" t="n">
        <v>6000</v>
      </c>
      <c r="P24" s="11" t="n">
        <v>3000</v>
      </c>
      <c r="Q24" s="11" t="n">
        <v>6000</v>
      </c>
      <c r="R24" s="14" t="n">
        <v>0</v>
      </c>
      <c r="S24" s="14" t="n">
        <v>0</v>
      </c>
      <c r="T24" s="11" t="n">
        <v>7000</v>
      </c>
      <c r="U24" s="10">
        <f>SUM(I24:T24)</f>
        <v/>
      </c>
      <c r="V24" s="10">
        <f>COUNTIF(I24:T24,"&gt;0")</f>
        <v/>
      </c>
      <c r="W24" s="10">
        <f>COUNT(I24:T24)</f>
        <v/>
      </c>
    </row>
    <row r="25">
      <c r="A25" s="6" t="n">
        <v>24</v>
      </c>
      <c r="B25" s="6" t="inlineStr">
        <is>
          <t>Snežana</t>
        </is>
      </c>
      <c r="C25" s="6" t="inlineStr">
        <is>
          <t>Dimčić</t>
        </is>
      </c>
      <c r="D25" s="13" t="n">
        <v>41640</v>
      </c>
      <c r="E25" s="6" t="inlineStr">
        <is>
          <t>Obuka</t>
        </is>
      </c>
      <c r="F25" s="6" t="inlineStr">
        <is>
          <t>PK Taš011</t>
        </is>
      </c>
      <c r="G25" s="8" t="n">
        <v>3500</v>
      </c>
      <c r="H25" s="9" t="inlineStr">
        <is>
          <t>DA</t>
        </is>
      </c>
      <c r="I25" s="10" t="inlineStr"/>
      <c r="J25" s="10" t="inlineStr"/>
      <c r="K25" s="10" t="inlineStr"/>
      <c r="L25" s="11" t="n">
        <v>3000</v>
      </c>
      <c r="M25" s="11" t="n">
        <v>3000</v>
      </c>
      <c r="N25" s="11" t="n">
        <v>3000</v>
      </c>
      <c r="O25" s="11" t="n">
        <v>3000</v>
      </c>
      <c r="P25" s="11" t="n">
        <v>6000</v>
      </c>
      <c r="Q25" s="11" t="n">
        <v>3000</v>
      </c>
      <c r="R25" s="14" t="n">
        <v>0</v>
      </c>
      <c r="S25" s="14" t="n">
        <v>0</v>
      </c>
      <c r="T25" s="11" t="n">
        <v>3500</v>
      </c>
      <c r="U25" s="10">
        <f>SUM(I25:T25)</f>
        <v/>
      </c>
      <c r="V25" s="10">
        <f>COUNTIF(I25:T25,"&gt;0")</f>
        <v/>
      </c>
      <c r="W25" s="10">
        <f>COUNT(I25:T25)</f>
        <v/>
      </c>
    </row>
    <row r="26">
      <c r="A26" s="6" t="n">
        <v>25</v>
      </c>
      <c r="B26" s="6" t="inlineStr">
        <is>
          <t>Lenka</t>
        </is>
      </c>
      <c r="C26" s="6" t="inlineStr">
        <is>
          <t>Živković</t>
        </is>
      </c>
      <c r="D26" s="12" t="n">
        <v>42671</v>
      </c>
      <c r="E26" s="6" t="inlineStr">
        <is>
          <t>Obuka</t>
        </is>
      </c>
      <c r="F26" s="6" t="inlineStr">
        <is>
          <t>PK Taš011</t>
        </is>
      </c>
      <c r="G26" s="8" t="n">
        <v>7000</v>
      </c>
      <c r="H26" s="9" t="inlineStr">
        <is>
          <t>DA</t>
        </is>
      </c>
      <c r="I26" s="10" t="inlineStr"/>
      <c r="J26" s="10" t="inlineStr"/>
      <c r="K26" s="11" t="n">
        <v>6000</v>
      </c>
      <c r="L26" s="11" t="n">
        <v>2500</v>
      </c>
      <c r="M26" s="11" t="n">
        <v>6000</v>
      </c>
      <c r="N26" s="11" t="n">
        <v>6000</v>
      </c>
      <c r="O26" s="11" t="n">
        <v>6000</v>
      </c>
      <c r="P26" s="14" t="n">
        <v>0</v>
      </c>
      <c r="Q26" s="14" t="n">
        <v>0</v>
      </c>
      <c r="R26" s="14" t="n">
        <v>0</v>
      </c>
      <c r="S26" s="14" t="n">
        <v>0</v>
      </c>
      <c r="T26" s="10" t="inlineStr"/>
      <c r="U26" s="10">
        <f>SUM(I26:T26)</f>
        <v/>
      </c>
      <c r="V26" s="10">
        <f>COUNTIF(I26:T26,"&gt;0")</f>
        <v/>
      </c>
      <c r="W26" s="10">
        <f>COUNT(I26:T26)</f>
        <v/>
      </c>
    </row>
    <row r="27">
      <c r="A27" s="6" t="n">
        <v>26</v>
      </c>
      <c r="B27" s="6" t="inlineStr">
        <is>
          <t>Gavrilo</t>
        </is>
      </c>
      <c r="C27" s="6" t="inlineStr">
        <is>
          <t>Živković</t>
        </is>
      </c>
      <c r="D27" s="12" t="n">
        <v>43144</v>
      </c>
      <c r="E27" s="6" t="inlineStr">
        <is>
          <t>Obuka</t>
        </is>
      </c>
      <c r="F27" s="6" t="inlineStr">
        <is>
          <t>PK Taš011</t>
        </is>
      </c>
      <c r="G27" s="8" t="n">
        <v>3500</v>
      </c>
      <c r="H27" s="9" t="inlineStr">
        <is>
          <t>DA</t>
        </is>
      </c>
      <c r="I27" s="10" t="inlineStr"/>
      <c r="J27" s="10" t="inlineStr"/>
      <c r="K27" s="11" t="n">
        <v>3000</v>
      </c>
      <c r="L27" s="11" t="n">
        <v>2000</v>
      </c>
      <c r="M27" s="11" t="n">
        <v>3000</v>
      </c>
      <c r="N27" s="11" t="n">
        <v>3000</v>
      </c>
      <c r="O27" s="11" t="n">
        <v>3000</v>
      </c>
      <c r="P27" s="14" t="n">
        <v>0</v>
      </c>
      <c r="Q27" s="14" t="n">
        <v>0</v>
      </c>
      <c r="R27" s="14" t="n">
        <v>0</v>
      </c>
      <c r="S27" s="14" t="n">
        <v>0</v>
      </c>
      <c r="T27" s="10" t="inlineStr"/>
      <c r="U27" s="10">
        <f>SUM(I27:T27)</f>
        <v/>
      </c>
      <c r="V27" s="10">
        <f>COUNTIF(I27:T27,"&gt;0")</f>
        <v/>
      </c>
      <c r="W27" s="10">
        <f>COUNT(I27:T27)</f>
        <v/>
      </c>
    </row>
    <row r="28">
      <c r="A28" s="6" t="n">
        <v>27</v>
      </c>
      <c r="B28" s="6" t="inlineStr">
        <is>
          <t>Vanja</t>
        </is>
      </c>
      <c r="C28" s="6" t="inlineStr">
        <is>
          <t>Anđelković</t>
        </is>
      </c>
      <c r="D28" s="13" t="n">
        <v>42005</v>
      </c>
      <c r="E28" s="6" t="inlineStr">
        <is>
          <t>Obuka</t>
        </is>
      </c>
      <c r="F28" s="6" t="inlineStr">
        <is>
          <t>PK Taš011</t>
        </is>
      </c>
      <c r="G28" s="8" t="n">
        <v>7000</v>
      </c>
      <c r="H28" s="9" t="inlineStr">
        <is>
          <t>DA</t>
        </is>
      </c>
      <c r="I28" s="10" t="inlineStr"/>
      <c r="J28" s="11" t="n">
        <v>6000</v>
      </c>
      <c r="K28" s="11" t="n">
        <v>6000</v>
      </c>
      <c r="L28" s="11" t="n">
        <v>6000</v>
      </c>
      <c r="M28" s="11" t="n">
        <v>6000</v>
      </c>
      <c r="N28" s="11" t="n">
        <v>6000</v>
      </c>
      <c r="O28" s="11" t="n">
        <v>6000</v>
      </c>
      <c r="P28" s="11" t="n">
        <v>6000</v>
      </c>
      <c r="Q28" s="14" t="n">
        <v>0</v>
      </c>
      <c r="R28" s="14" t="n">
        <v>0</v>
      </c>
      <c r="S28" s="14" t="n">
        <v>0</v>
      </c>
      <c r="T28" s="10" t="inlineStr"/>
      <c r="U28" s="10">
        <f>SUM(I28:T28)</f>
        <v/>
      </c>
      <c r="V28" s="10">
        <f>COUNTIF(I28:T28,"&gt;0")</f>
        <v/>
      </c>
      <c r="W28" s="10">
        <f>COUNT(I28:T28)</f>
        <v/>
      </c>
    </row>
    <row r="29">
      <c r="A29" s="6" t="n">
        <v>28</v>
      </c>
      <c r="B29" s="6" t="inlineStr">
        <is>
          <t>Ignjat</t>
        </is>
      </c>
      <c r="C29" s="6" t="inlineStr">
        <is>
          <t>Arsić</t>
        </is>
      </c>
      <c r="D29" s="13" t="n">
        <v>41640</v>
      </c>
      <c r="E29" s="6" t="inlineStr">
        <is>
          <t>Obuka</t>
        </is>
      </c>
      <c r="F29" s="6" t="inlineStr">
        <is>
          <t>PK Taš011</t>
        </is>
      </c>
      <c r="G29" s="8" t="n">
        <v>7000</v>
      </c>
      <c r="H29" s="9" t="inlineStr">
        <is>
          <t>DA</t>
        </is>
      </c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1" t="n">
        <v>7000</v>
      </c>
      <c r="U29" s="10">
        <f>SUM(I29:T29)</f>
        <v/>
      </c>
      <c r="V29" s="10">
        <f>COUNTIF(I29:T29,"&gt;0")</f>
        <v/>
      </c>
      <c r="W29" s="10">
        <f>COUNT(I29:T29)</f>
        <v/>
      </c>
    </row>
    <row r="30">
      <c r="A30" s="6" t="n">
        <v>29</v>
      </c>
      <c r="B30" s="6" t="inlineStr">
        <is>
          <t>Maksim</t>
        </is>
      </c>
      <c r="C30" s="6" t="inlineStr">
        <is>
          <t>Nikolajev</t>
        </is>
      </c>
      <c r="D30" s="13" t="n">
        <v>40909</v>
      </c>
      <c r="E30" s="6" t="inlineStr">
        <is>
          <t>Obuka</t>
        </is>
      </c>
      <c r="F30" s="6" t="inlineStr">
        <is>
          <t>PK Taš011</t>
        </is>
      </c>
      <c r="G30" s="8" t="n">
        <v>7000</v>
      </c>
      <c r="H30" s="9" t="inlineStr">
        <is>
          <t>DA</t>
        </is>
      </c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1" t="n">
        <v>6000</v>
      </c>
      <c r="S30" s="11" t="n">
        <v>6000</v>
      </c>
      <c r="T30" s="11" t="n">
        <v>7000</v>
      </c>
      <c r="U30" s="10">
        <f>SUM(I30:T30)</f>
        <v/>
      </c>
      <c r="V30" s="10">
        <f>COUNTIF(I30:T30,"&gt;0")</f>
        <v/>
      </c>
      <c r="W30" s="10">
        <f>COUNT(I30:T30)</f>
        <v/>
      </c>
    </row>
    <row r="31">
      <c r="A31" s="6" t="n">
        <v>30</v>
      </c>
      <c r="B31" s="6" t="inlineStr">
        <is>
          <t>Relja</t>
        </is>
      </c>
      <c r="C31" s="6" t="inlineStr">
        <is>
          <t>Čalović</t>
        </is>
      </c>
      <c r="D31" s="12" t="n">
        <v>41449</v>
      </c>
      <c r="E31" s="6" t="inlineStr">
        <is>
          <t>Obuka</t>
        </is>
      </c>
      <c r="F31" s="6" t="inlineStr">
        <is>
          <t>PK Taš011</t>
        </is>
      </c>
      <c r="G31" s="8" t="n">
        <v>7000</v>
      </c>
      <c r="H31" s="9" t="inlineStr">
        <is>
          <t>DA</t>
        </is>
      </c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1" t="n">
        <v>7000</v>
      </c>
      <c r="U31" s="10">
        <f>SUM(I31:T31)</f>
        <v/>
      </c>
      <c r="V31" s="10">
        <f>COUNTIF(I31:T31,"&gt;0")</f>
        <v/>
      </c>
      <c r="W31" s="10">
        <f>COUNT(I31:T31)</f>
        <v/>
      </c>
    </row>
    <row r="32">
      <c r="A32" s="6" t="n">
        <v>31</v>
      </c>
      <c r="B32" s="6" t="inlineStr">
        <is>
          <t>Iskra</t>
        </is>
      </c>
      <c r="C32" s="6" t="inlineStr">
        <is>
          <t>Stošić</t>
        </is>
      </c>
      <c r="D32" s="13" t="n">
        <v>41640</v>
      </c>
      <c r="E32" s="6" t="inlineStr">
        <is>
          <t>Obuka</t>
        </is>
      </c>
      <c r="F32" s="6" t="inlineStr">
        <is>
          <t>PK Taš011</t>
        </is>
      </c>
      <c r="G32" s="8" t="n">
        <v>7000</v>
      </c>
      <c r="H32" s="9" t="inlineStr">
        <is>
          <t>DA</t>
        </is>
      </c>
      <c r="I32" s="10" t="inlineStr"/>
      <c r="J32" s="10" t="inlineStr"/>
      <c r="K32" s="10" t="inlineStr"/>
      <c r="L32" s="10" t="inlineStr"/>
      <c r="M32" s="14" t="n">
        <v>0</v>
      </c>
      <c r="N32" s="11" t="n">
        <v>6000</v>
      </c>
      <c r="O32" s="11" t="n">
        <v>6000</v>
      </c>
      <c r="P32" s="11" t="n">
        <v>6000</v>
      </c>
      <c r="Q32" s="11" t="n">
        <v>6000</v>
      </c>
      <c r="R32" s="14" t="n">
        <v>0</v>
      </c>
      <c r="S32" s="14" t="n">
        <v>0</v>
      </c>
      <c r="T32" s="14" t="n">
        <v>0</v>
      </c>
      <c r="U32" s="10">
        <f>SUM(I32:T32)</f>
        <v/>
      </c>
      <c r="V32" s="10">
        <f>COUNTIF(I32:T32,"&gt;0")</f>
        <v/>
      </c>
      <c r="W32" s="10">
        <f>COUNT(I32:T32)</f>
        <v/>
      </c>
    </row>
    <row r="33">
      <c r="A33" s="6" t="n">
        <v>32</v>
      </c>
      <c r="B33" s="6" t="inlineStr">
        <is>
          <t>Viktor</t>
        </is>
      </c>
      <c r="C33" s="6" t="inlineStr">
        <is>
          <t>Radovanović</t>
        </is>
      </c>
      <c r="D33" s="7" t="n">
        <v>1</v>
      </c>
      <c r="E33" s="6" t="inlineStr">
        <is>
          <t>Obuka</t>
        </is>
      </c>
      <c r="F33" s="6" t="inlineStr">
        <is>
          <t>PK Taš011</t>
        </is>
      </c>
      <c r="G33" s="8" t="n">
        <v>7000</v>
      </c>
      <c r="H33" s="9" t="inlineStr">
        <is>
          <t>DA</t>
        </is>
      </c>
      <c r="I33" s="10" t="inlineStr"/>
      <c r="J33" s="11" t="n">
        <v>6000</v>
      </c>
      <c r="K33" s="10" t="inlineStr"/>
      <c r="L33" s="11" t="n">
        <v>6000</v>
      </c>
      <c r="M33" s="11" t="n">
        <v>6000</v>
      </c>
      <c r="N33" s="11" t="n">
        <v>6000</v>
      </c>
      <c r="O33" s="11" t="n">
        <v>6000</v>
      </c>
      <c r="P33" s="11" t="n">
        <v>6000</v>
      </c>
      <c r="Q33" s="14" t="n">
        <v>0</v>
      </c>
      <c r="R33" s="11" t="n">
        <v>12000</v>
      </c>
      <c r="S33" s="11" t="n">
        <v>6000</v>
      </c>
      <c r="T33" s="11" t="n">
        <v>7000</v>
      </c>
      <c r="U33" s="10">
        <f>SUM(I33:T33)</f>
        <v/>
      </c>
      <c r="V33" s="10">
        <f>COUNTIF(I33:T33,"&gt;0")</f>
        <v/>
      </c>
      <c r="W33" s="10">
        <f>COUNT(I33:T33)</f>
        <v/>
      </c>
    </row>
    <row r="34">
      <c r="A34" s="6" t="n">
        <v>33</v>
      </c>
      <c r="B34" s="6" t="inlineStr">
        <is>
          <t>Mihajlo</t>
        </is>
      </c>
      <c r="C34" s="6" t="inlineStr">
        <is>
          <t>Mijatović</t>
        </is>
      </c>
      <c r="D34" s="12" t="n">
        <v>43039</v>
      </c>
      <c r="E34" s="6" t="inlineStr">
        <is>
          <t>Obuka</t>
        </is>
      </c>
      <c r="F34" s="6" t="inlineStr">
        <is>
          <t>PK Taš011</t>
        </is>
      </c>
      <c r="G34" s="8" t="n">
        <v>7000</v>
      </c>
      <c r="H34" s="9" t="inlineStr">
        <is>
          <t>DA</t>
        </is>
      </c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1" t="n">
        <v>7000</v>
      </c>
      <c r="U34" s="10">
        <f>SUM(I34:T34)</f>
        <v/>
      </c>
      <c r="V34" s="10">
        <f>COUNTIF(I34:T34,"&gt;0")</f>
        <v/>
      </c>
      <c r="W34" s="10">
        <f>COUNT(I34:T34)</f>
        <v/>
      </c>
    </row>
    <row r="35">
      <c r="A35" s="6" t="n">
        <v>34</v>
      </c>
      <c r="B35" s="6" t="inlineStr">
        <is>
          <t>Aleksandar</t>
        </is>
      </c>
      <c r="C35" s="6" t="inlineStr">
        <is>
          <t>Bataš</t>
        </is>
      </c>
      <c r="D35" s="12" t="n">
        <v>41271</v>
      </c>
      <c r="E35" s="6" t="inlineStr">
        <is>
          <t>Obuka</t>
        </is>
      </c>
      <c r="F35" s="6" t="inlineStr">
        <is>
          <t>PK Taš011</t>
        </is>
      </c>
      <c r="G35" s="8" t="n">
        <v>7000</v>
      </c>
      <c r="H35" s="9" t="inlineStr">
        <is>
          <t>DA</t>
        </is>
      </c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1" t="n">
        <v>7000</v>
      </c>
      <c r="U35" s="10">
        <f>SUM(I35:T35)</f>
        <v/>
      </c>
      <c r="V35" s="10">
        <f>COUNTIF(I35:T35,"&gt;0")</f>
        <v/>
      </c>
      <c r="W35" s="10">
        <f>COUNT(I35:T35)</f>
        <v/>
      </c>
    </row>
    <row r="36">
      <c r="A36" s="6" t="n">
        <v>35</v>
      </c>
      <c r="B36" s="6" t="inlineStr">
        <is>
          <t>Nemanja</t>
        </is>
      </c>
      <c r="C36" s="6" t="inlineStr">
        <is>
          <t>Petrović</t>
        </is>
      </c>
      <c r="D36" s="7" t="n">
        <v>1</v>
      </c>
      <c r="E36" s="6" t="inlineStr">
        <is>
          <t>Obuka</t>
        </is>
      </c>
      <c r="F36" s="6" t="inlineStr">
        <is>
          <t>PK Taš011</t>
        </is>
      </c>
      <c r="G36" s="8" t="n">
        <v>7000</v>
      </c>
      <c r="H36" s="9" t="inlineStr">
        <is>
          <t>DA</t>
        </is>
      </c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4" t="n">
        <v>0</v>
      </c>
      <c r="U36" s="10">
        <f>SUM(I36:T36)</f>
        <v/>
      </c>
      <c r="V36" s="10">
        <f>COUNTIF(I36:T36,"&gt;0")</f>
        <v/>
      </c>
      <c r="W36" s="10">
        <f>COUNT(I36:T36)</f>
        <v/>
      </c>
    </row>
    <row r="37">
      <c r="A37" s="6" t="n">
        <v>36</v>
      </c>
      <c r="B37" s="6" t="inlineStr">
        <is>
          <t>Vukašin</t>
        </is>
      </c>
      <c r="C37" s="6" t="inlineStr">
        <is>
          <t>Carević</t>
        </is>
      </c>
      <c r="D37" s="12" t="n">
        <v>41906</v>
      </c>
      <c r="E37" s="6" t="inlineStr">
        <is>
          <t>Obuka</t>
        </is>
      </c>
      <c r="F37" s="6" t="inlineStr">
        <is>
          <t>PK Taš011</t>
        </is>
      </c>
      <c r="G37" s="8" t="n">
        <v>7000</v>
      </c>
      <c r="H37" s="9" t="inlineStr">
        <is>
          <t>DA</t>
        </is>
      </c>
      <c r="I37" s="10" t="inlineStr"/>
      <c r="J37" s="10" t="inlineStr"/>
      <c r="K37" s="10" t="inlineStr"/>
      <c r="L37" s="10" t="inlineStr"/>
      <c r="M37" s="11" t="n">
        <v>3000</v>
      </c>
      <c r="N37" s="11" t="n">
        <v>3000</v>
      </c>
      <c r="O37" s="11" t="n">
        <v>3000</v>
      </c>
      <c r="P37" s="11" t="n">
        <v>3000</v>
      </c>
      <c r="Q37" s="11" t="n">
        <v>3000</v>
      </c>
      <c r="R37" s="11" t="n">
        <v>3000</v>
      </c>
      <c r="S37" s="14" t="n">
        <v>0</v>
      </c>
      <c r="T37" s="14" t="n">
        <v>0</v>
      </c>
      <c r="U37" s="10">
        <f>SUM(I37:T37)</f>
        <v/>
      </c>
      <c r="V37" s="10">
        <f>COUNTIF(I37:T37,"&gt;0")</f>
        <v/>
      </c>
      <c r="W37" s="10">
        <f>COUNT(I37:T37)</f>
        <v/>
      </c>
    </row>
    <row r="38">
      <c r="A38" s="6" t="n">
        <v>37</v>
      </c>
      <c r="B38" s="6" t="inlineStr">
        <is>
          <t>Vladimir</t>
        </is>
      </c>
      <c r="C38" s="6" t="inlineStr">
        <is>
          <t>Vidavtiv</t>
        </is>
      </c>
      <c r="D38" s="7" t="n">
        <v>1</v>
      </c>
      <c r="E38" s="6" t="inlineStr">
        <is>
          <t>Obuka</t>
        </is>
      </c>
      <c r="F38" s="6" t="inlineStr">
        <is>
          <t>PK Taš011</t>
        </is>
      </c>
      <c r="G38" s="8" t="n">
        <v>7000</v>
      </c>
      <c r="H38" s="9" t="inlineStr">
        <is>
          <t>DA</t>
        </is>
      </c>
      <c r="I38" s="10" t="inlineStr"/>
      <c r="J38" s="10" t="inlineStr"/>
      <c r="K38" s="10" t="inlineStr"/>
      <c r="L38" s="10" t="inlineStr"/>
      <c r="M38" s="10" t="inlineStr"/>
      <c r="N38" s="11" t="n">
        <v>6000</v>
      </c>
      <c r="O38" s="11" t="n">
        <v>6000</v>
      </c>
      <c r="P38" s="11" t="n">
        <v>6000</v>
      </c>
      <c r="Q38" s="11" t="n">
        <v>6000</v>
      </c>
      <c r="R38" s="11" t="n">
        <v>6000</v>
      </c>
      <c r="S38" s="11" t="n">
        <v>6000</v>
      </c>
      <c r="T38" s="14" t="n">
        <v>0</v>
      </c>
      <c r="U38" s="10">
        <f>SUM(I38:T38)</f>
        <v/>
      </c>
      <c r="V38" s="10">
        <f>COUNTIF(I38:T38,"&gt;0")</f>
        <v/>
      </c>
      <c r="W38" s="10">
        <f>COUNT(I38:T38)</f>
        <v/>
      </c>
    </row>
    <row r="39">
      <c r="A39" s="6" t="n">
        <v>38</v>
      </c>
      <c r="B39" s="6" t="inlineStr">
        <is>
          <t>Stefan</t>
        </is>
      </c>
      <c r="C39" s="6" t="inlineStr">
        <is>
          <t>Miljković</t>
        </is>
      </c>
      <c r="D39" s="13" t="n">
        <v>41640</v>
      </c>
      <c r="E39" s="6" t="inlineStr">
        <is>
          <t>Obuka</t>
        </is>
      </c>
      <c r="F39" s="6" t="inlineStr">
        <is>
          <t>PK Taš011</t>
        </is>
      </c>
      <c r="G39" s="8" t="n">
        <v>7000</v>
      </c>
      <c r="H39" s="9" t="inlineStr">
        <is>
          <t>DA</t>
        </is>
      </c>
      <c r="I39" s="10" t="inlineStr"/>
      <c r="J39" s="10" t="inlineStr"/>
      <c r="K39" s="10" t="inlineStr"/>
      <c r="L39" s="10" t="inlineStr"/>
      <c r="M39" s="10" t="inlineStr"/>
      <c r="N39" s="11" t="n">
        <v>6000</v>
      </c>
      <c r="O39" s="11" t="n">
        <v>6000</v>
      </c>
      <c r="P39" s="11" t="n">
        <v>6000</v>
      </c>
      <c r="Q39" s="11" t="n">
        <v>3000</v>
      </c>
      <c r="R39" s="14" t="n">
        <v>0</v>
      </c>
      <c r="S39" s="14" t="n">
        <v>0</v>
      </c>
      <c r="T39" s="11" t="n">
        <v>7000</v>
      </c>
      <c r="U39" s="10">
        <f>SUM(I39:T39)</f>
        <v/>
      </c>
      <c r="V39" s="10">
        <f>COUNTIF(I39:T39,"&gt;0")</f>
        <v/>
      </c>
      <c r="W39" s="10">
        <f>COUNT(I39:T39)</f>
        <v/>
      </c>
    </row>
    <row r="40">
      <c r="A40" s="6" t="n">
        <v>39</v>
      </c>
      <c r="B40" s="6" t="inlineStr">
        <is>
          <t>Irina</t>
        </is>
      </c>
      <c r="C40" s="6" t="inlineStr">
        <is>
          <t>Lazović</t>
        </is>
      </c>
      <c r="D40" s="13" t="n">
        <v>41640</v>
      </c>
      <c r="E40" s="6" t="inlineStr">
        <is>
          <t>Obuka</t>
        </is>
      </c>
      <c r="F40" s="6" t="inlineStr">
        <is>
          <t>PK Taš011</t>
        </is>
      </c>
      <c r="G40" s="8" t="n">
        <v>7000</v>
      </c>
      <c r="H40" s="9" t="inlineStr">
        <is>
          <t>DA</t>
        </is>
      </c>
      <c r="I40" s="10" t="inlineStr"/>
      <c r="J40" s="10" t="inlineStr"/>
      <c r="K40" s="10" t="inlineStr"/>
      <c r="L40" s="10" t="inlineStr"/>
      <c r="M40" s="10" t="inlineStr"/>
      <c r="N40" s="11" t="n">
        <v>3000</v>
      </c>
      <c r="O40" s="11" t="n">
        <v>6000</v>
      </c>
      <c r="P40" s="11" t="n">
        <v>6000</v>
      </c>
      <c r="Q40" s="11" t="n">
        <v>6000</v>
      </c>
      <c r="R40" s="14" t="n">
        <v>0</v>
      </c>
      <c r="S40" s="14" t="n">
        <v>0</v>
      </c>
      <c r="T40" s="14" t="n">
        <v>0</v>
      </c>
      <c r="U40" s="10">
        <f>SUM(I40:T40)</f>
        <v/>
      </c>
      <c r="V40" s="10">
        <f>COUNTIF(I40:T40,"&gt;0")</f>
        <v/>
      </c>
      <c r="W40" s="10">
        <f>COUNT(I40:T40)</f>
        <v/>
      </c>
    </row>
    <row r="41">
      <c r="A41" s="6" t="n">
        <v>40</v>
      </c>
      <c r="B41" s="6" t="inlineStr">
        <is>
          <t>Jana</t>
        </is>
      </c>
      <c r="C41" s="6" t="inlineStr">
        <is>
          <t>Samardžić</t>
        </is>
      </c>
      <c r="D41" s="12" t="n">
        <v>41681</v>
      </c>
      <c r="E41" s="6" t="inlineStr">
        <is>
          <t>Obuka</t>
        </is>
      </c>
      <c r="F41" s="6" t="inlineStr">
        <is>
          <t>PK Taš011</t>
        </is>
      </c>
      <c r="G41" s="8" t="n">
        <v>7000</v>
      </c>
      <c r="H41" s="9" t="inlineStr">
        <is>
          <t>DA</t>
        </is>
      </c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1" t="n">
        <v>7000</v>
      </c>
      <c r="U41" s="10">
        <f>SUM(I41:T41)</f>
        <v/>
      </c>
      <c r="V41" s="10">
        <f>COUNTIF(I41:T41,"&gt;0")</f>
        <v/>
      </c>
      <c r="W41" s="10">
        <f>COUNT(I41:T41)</f>
        <v/>
      </c>
    </row>
    <row r="42">
      <c r="A42" s="6" t="n">
        <v>41</v>
      </c>
      <c r="B42" s="6" t="inlineStr">
        <is>
          <t>Danilo</t>
        </is>
      </c>
      <c r="C42" s="6" t="inlineStr">
        <is>
          <t>Saramardžić</t>
        </is>
      </c>
      <c r="D42" s="12" t="n">
        <v>42336</v>
      </c>
      <c r="E42" s="6" t="inlineStr">
        <is>
          <t>Obuka</t>
        </is>
      </c>
      <c r="F42" s="6" t="inlineStr">
        <is>
          <t>PK Taš011</t>
        </is>
      </c>
      <c r="G42" s="8" t="n">
        <v>3500</v>
      </c>
      <c r="H42" s="9" t="inlineStr">
        <is>
          <t>DA</t>
        </is>
      </c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1" t="n">
        <v>3500</v>
      </c>
      <c r="U42" s="10">
        <f>SUM(I42:T42)</f>
        <v/>
      </c>
      <c r="V42" s="10">
        <f>COUNTIF(I42:T42,"&gt;0")</f>
        <v/>
      </c>
      <c r="W42" s="10">
        <f>COUNT(I42:T42)</f>
        <v/>
      </c>
    </row>
    <row r="43">
      <c r="A43" s="6" t="n">
        <v>42</v>
      </c>
      <c r="B43" s="6" t="inlineStr">
        <is>
          <t>Milan</t>
        </is>
      </c>
      <c r="C43" s="6" t="inlineStr">
        <is>
          <t>Marinković</t>
        </is>
      </c>
      <c r="D43" s="7" t="n">
        <v>1</v>
      </c>
      <c r="E43" s="6" t="inlineStr">
        <is>
          <t>Obuka</t>
        </is>
      </c>
      <c r="F43" s="6" t="inlineStr">
        <is>
          <t>PK Taš011</t>
        </is>
      </c>
      <c r="G43" s="8" t="n">
        <v>7000</v>
      </c>
      <c r="H43" s="9" t="inlineStr">
        <is>
          <t>DA</t>
        </is>
      </c>
      <c r="I43" s="10" t="inlineStr"/>
      <c r="J43" s="10" t="inlineStr"/>
      <c r="K43" s="10" t="inlineStr"/>
      <c r="L43" s="10" t="inlineStr"/>
      <c r="M43" s="10" t="inlineStr"/>
      <c r="N43" s="11" t="n">
        <v>6000</v>
      </c>
      <c r="O43" s="11" t="n">
        <v>6000</v>
      </c>
      <c r="P43" s="11" t="n">
        <v>6000</v>
      </c>
      <c r="Q43" s="11" t="n">
        <v>6000</v>
      </c>
      <c r="R43" s="14" t="n">
        <v>0</v>
      </c>
      <c r="S43" s="14" t="n">
        <v>0</v>
      </c>
      <c r="T43" s="14" t="n">
        <v>0</v>
      </c>
      <c r="U43" s="10">
        <f>SUM(I43:T43)</f>
        <v/>
      </c>
      <c r="V43" s="10">
        <f>COUNTIF(I43:T43,"&gt;0")</f>
        <v/>
      </c>
      <c r="W43" s="10">
        <f>COUNT(I43:T43)</f>
        <v/>
      </c>
    </row>
    <row r="44">
      <c r="A44" s="6" t="n">
        <v>43</v>
      </c>
      <c r="B44" s="6" t="inlineStr">
        <is>
          <t>Filip</t>
        </is>
      </c>
      <c r="C44" s="6" t="inlineStr">
        <is>
          <t>Maksić</t>
        </is>
      </c>
      <c r="D44" s="7" t="n">
        <v>1</v>
      </c>
      <c r="E44" s="6" t="inlineStr">
        <is>
          <t>Obuka</t>
        </is>
      </c>
      <c r="F44" s="6" t="inlineStr">
        <is>
          <t>PK Taš011</t>
        </is>
      </c>
      <c r="G44" s="8" t="n">
        <v>7000</v>
      </c>
      <c r="H44" s="9" t="inlineStr">
        <is>
          <t>DA</t>
        </is>
      </c>
      <c r="I44" s="10" t="inlineStr"/>
      <c r="J44" s="10" t="inlineStr"/>
      <c r="K44" s="10" t="inlineStr"/>
      <c r="L44" s="10" t="inlineStr"/>
      <c r="M44" s="10" t="inlineStr"/>
      <c r="N44" s="11" t="n">
        <v>12000</v>
      </c>
      <c r="O44" s="11" t="n">
        <v>6000</v>
      </c>
      <c r="P44" s="11" t="n">
        <v>6000</v>
      </c>
      <c r="Q44" s="14" t="n">
        <v>0</v>
      </c>
      <c r="R44" s="14" t="n">
        <v>0</v>
      </c>
      <c r="S44" s="14" t="n">
        <v>0</v>
      </c>
      <c r="T44" s="11" t="n">
        <v>7000</v>
      </c>
      <c r="U44" s="10">
        <f>SUM(I44:T44)</f>
        <v/>
      </c>
      <c r="V44" s="10">
        <f>COUNTIF(I44:T44,"&gt;0")</f>
        <v/>
      </c>
      <c r="W44" s="10">
        <f>COUNT(I44:T44)</f>
        <v/>
      </c>
    </row>
    <row r="45">
      <c r="A45" s="6" t="n">
        <v>44</v>
      </c>
      <c r="B45" s="6" t="inlineStr">
        <is>
          <t>Pavle</t>
        </is>
      </c>
      <c r="C45" s="6" t="inlineStr">
        <is>
          <t>Kalinić</t>
        </is>
      </c>
      <c r="D45" s="12" t="n">
        <v>44497</v>
      </c>
      <c r="E45" s="6" t="inlineStr">
        <is>
          <t>Obuka</t>
        </is>
      </c>
      <c r="F45" s="6" t="inlineStr">
        <is>
          <t>PK Taš011</t>
        </is>
      </c>
      <c r="G45" s="8" t="n">
        <v>7000</v>
      </c>
      <c r="H45" s="9" t="inlineStr">
        <is>
          <t>DA</t>
        </is>
      </c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1" t="n">
        <v>3000</v>
      </c>
      <c r="S45" s="14" t="n">
        <v>0</v>
      </c>
      <c r="T45" s="14" t="n">
        <v>0</v>
      </c>
      <c r="U45" s="10">
        <f>SUM(I45:T45)</f>
        <v/>
      </c>
      <c r="V45" s="10">
        <f>COUNTIF(I45:T45,"&gt;0")</f>
        <v/>
      </c>
      <c r="W45" s="10">
        <f>COUNT(I45:T45)</f>
        <v/>
      </c>
    </row>
    <row r="46">
      <c r="A46" s="6" t="n">
        <v>45</v>
      </c>
      <c r="B46" s="6" t="inlineStr">
        <is>
          <t>Đorđe</t>
        </is>
      </c>
      <c r="C46" s="6" t="inlineStr">
        <is>
          <t>Mrdak</t>
        </is>
      </c>
      <c r="D46" s="7" t="n">
        <v>1</v>
      </c>
      <c r="E46" s="6" t="inlineStr">
        <is>
          <t>Obuka</t>
        </is>
      </c>
      <c r="F46" s="6" t="inlineStr">
        <is>
          <t>PK Taš011</t>
        </is>
      </c>
      <c r="G46" s="8" t="n">
        <v>7000</v>
      </c>
      <c r="H46" s="9" t="inlineStr">
        <is>
          <t>DA</t>
        </is>
      </c>
      <c r="I46" s="10" t="inlineStr"/>
      <c r="J46" s="10" t="inlineStr"/>
      <c r="K46" s="10" t="inlineStr"/>
      <c r="L46" s="10" t="inlineStr"/>
      <c r="M46" s="10" t="inlineStr"/>
      <c r="N46" s="10" t="inlineStr"/>
      <c r="O46" s="11" t="n">
        <v>6000</v>
      </c>
      <c r="P46" s="11" t="n">
        <v>6000</v>
      </c>
      <c r="Q46" s="11" t="n">
        <v>6000</v>
      </c>
      <c r="R46" s="14" t="n">
        <v>0</v>
      </c>
      <c r="S46" s="11" t="n">
        <v>6000</v>
      </c>
      <c r="T46" s="11" t="n">
        <v>7000</v>
      </c>
      <c r="U46" s="10">
        <f>SUM(I46:T46)</f>
        <v/>
      </c>
      <c r="V46" s="10">
        <f>COUNTIF(I46:T46,"&gt;0")</f>
        <v/>
      </c>
      <c r="W46" s="10">
        <f>COUNT(I46:T46)</f>
        <v/>
      </c>
    </row>
    <row r="47">
      <c r="A47" s="6" t="n">
        <v>46</v>
      </c>
      <c r="B47" s="6" t="inlineStr">
        <is>
          <t>Nemanja</t>
        </is>
      </c>
      <c r="C47" s="6" t="inlineStr">
        <is>
          <t>Marković</t>
        </is>
      </c>
      <c r="D47" s="7" t="n">
        <v>1</v>
      </c>
      <c r="E47" s="6" t="inlineStr">
        <is>
          <t>Obuka</t>
        </is>
      </c>
      <c r="F47" s="6" t="inlineStr">
        <is>
          <t>PK Taš011</t>
        </is>
      </c>
      <c r="G47" s="8" t="n">
        <v>7000</v>
      </c>
      <c r="H47" s="9" t="inlineStr">
        <is>
          <t>DA</t>
        </is>
      </c>
      <c r="I47" s="10" t="inlineStr"/>
      <c r="J47" s="10" t="inlineStr"/>
      <c r="K47" s="10" t="inlineStr"/>
      <c r="L47" s="10" t="inlineStr"/>
      <c r="M47" s="10" t="inlineStr"/>
      <c r="N47" s="10" t="inlineStr"/>
      <c r="O47" s="11" t="n">
        <v>6000</v>
      </c>
      <c r="P47" s="11" t="n">
        <v>6000</v>
      </c>
      <c r="Q47" s="11" t="n">
        <v>6000</v>
      </c>
      <c r="R47" s="14" t="n">
        <v>0</v>
      </c>
      <c r="S47" s="14" t="n">
        <v>0</v>
      </c>
      <c r="T47" s="14" t="n">
        <v>0</v>
      </c>
      <c r="U47" s="10">
        <f>SUM(I47:T47)</f>
        <v/>
      </c>
      <c r="V47" s="10">
        <f>COUNTIF(I47:T47,"&gt;0")</f>
        <v/>
      </c>
      <c r="W47" s="10">
        <f>COUNT(I47:T47)</f>
        <v/>
      </c>
    </row>
    <row r="48">
      <c r="A48" s="6" t="n">
        <v>47</v>
      </c>
      <c r="B48" s="6" t="inlineStr">
        <is>
          <t>Lazar</t>
        </is>
      </c>
      <c r="C48" s="6" t="inlineStr">
        <is>
          <t>Milićević</t>
        </is>
      </c>
      <c r="D48" s="12" t="n">
        <v>41609</v>
      </c>
      <c r="E48" s="6" t="inlineStr">
        <is>
          <t>Obuka</t>
        </is>
      </c>
      <c r="F48" s="6" t="inlineStr">
        <is>
          <t>PK Taš011</t>
        </is>
      </c>
      <c r="G48" s="8" t="n">
        <v>7000</v>
      </c>
      <c r="H48" s="9" t="inlineStr">
        <is>
          <t>DA</t>
        </is>
      </c>
      <c r="I48" s="10" t="inlineStr"/>
      <c r="J48" s="10" t="inlineStr"/>
      <c r="K48" s="10" t="inlineStr"/>
      <c r="L48" s="10" t="inlineStr"/>
      <c r="M48" s="10" t="inlineStr"/>
      <c r="N48" s="10" t="inlineStr"/>
      <c r="O48" s="11" t="n">
        <v>6000</v>
      </c>
      <c r="P48" s="11" t="n">
        <v>6000</v>
      </c>
      <c r="Q48" s="14" t="n">
        <v>0</v>
      </c>
      <c r="R48" s="14" t="n">
        <v>0</v>
      </c>
      <c r="S48" s="14" t="n">
        <v>0</v>
      </c>
      <c r="T48" s="14" t="n">
        <v>0</v>
      </c>
      <c r="U48" s="10">
        <f>SUM(I48:T48)</f>
        <v/>
      </c>
      <c r="V48" s="10">
        <f>COUNTIF(I48:T48,"&gt;0")</f>
        <v/>
      </c>
      <c r="W48" s="10">
        <f>COUNT(I48:T48)</f>
        <v/>
      </c>
    </row>
    <row r="49">
      <c r="A49" s="6" t="n">
        <v>48</v>
      </c>
      <c r="B49" s="6" t="inlineStr">
        <is>
          <t>Maja</t>
        </is>
      </c>
      <c r="C49" s="6" t="inlineStr">
        <is>
          <t>Šabanović</t>
        </is>
      </c>
      <c r="D49" s="13" t="n">
        <v>40909</v>
      </c>
      <c r="E49" s="6" t="inlineStr">
        <is>
          <t>Obuka</t>
        </is>
      </c>
      <c r="F49" s="6" t="inlineStr">
        <is>
          <t>PK Taš011</t>
        </is>
      </c>
      <c r="G49" s="8" t="n">
        <v>7000</v>
      </c>
      <c r="H49" s="9" t="inlineStr">
        <is>
          <t>DA</t>
        </is>
      </c>
      <c r="I49" s="10" t="inlineStr"/>
      <c r="J49" s="10" t="inlineStr"/>
      <c r="K49" s="10" t="inlineStr"/>
      <c r="L49" s="10" t="inlineStr"/>
      <c r="M49" s="10" t="inlineStr"/>
      <c r="N49" s="11" t="n">
        <v>3000</v>
      </c>
      <c r="O49" s="11" t="n">
        <v>6000</v>
      </c>
      <c r="P49" s="11" t="n">
        <v>6000</v>
      </c>
      <c r="Q49" s="11" t="n">
        <v>6000</v>
      </c>
      <c r="R49" s="14" t="n">
        <v>0</v>
      </c>
      <c r="S49" s="14" t="n">
        <v>0</v>
      </c>
      <c r="T49" s="11" t="n">
        <v>6000</v>
      </c>
      <c r="U49" s="10">
        <f>SUM(I49:T49)</f>
        <v/>
      </c>
      <c r="V49" s="10">
        <f>COUNTIF(I49:T49,"&gt;0")</f>
        <v/>
      </c>
      <c r="W49" s="10">
        <f>COUNT(I49:T49)</f>
        <v/>
      </c>
    </row>
    <row r="50">
      <c r="A50" s="6" t="n">
        <v>49</v>
      </c>
      <c r="B50" s="6" t="inlineStr">
        <is>
          <t>Katarina</t>
        </is>
      </c>
      <c r="C50" s="6" t="inlineStr">
        <is>
          <t>Petrović</t>
        </is>
      </c>
      <c r="D50" s="13" t="n">
        <v>44197</v>
      </c>
      <c r="E50" s="6" t="inlineStr">
        <is>
          <t>Obuka</t>
        </is>
      </c>
      <c r="F50" s="6" t="inlineStr">
        <is>
          <t>PK Taš011</t>
        </is>
      </c>
      <c r="G50" s="8" t="n">
        <v>3500</v>
      </c>
      <c r="H50" s="9" t="inlineStr">
        <is>
          <t>DA</t>
        </is>
      </c>
      <c r="I50" s="10" t="inlineStr"/>
      <c r="J50" s="10" t="inlineStr"/>
      <c r="K50" s="10" t="inlineStr"/>
      <c r="L50" s="10" t="inlineStr"/>
      <c r="M50" s="10" t="inlineStr"/>
      <c r="N50" s="10" t="inlineStr"/>
      <c r="O50" s="11" t="n">
        <v>3000</v>
      </c>
      <c r="P50" s="11" t="n">
        <v>3000</v>
      </c>
      <c r="Q50" s="11" t="n">
        <v>3000</v>
      </c>
      <c r="R50" s="11" t="n">
        <v>3000</v>
      </c>
      <c r="S50" s="11" t="n">
        <v>3000</v>
      </c>
      <c r="T50" s="14" t="n">
        <v>0</v>
      </c>
      <c r="U50" s="10">
        <f>SUM(I50:T50)</f>
        <v/>
      </c>
      <c r="V50" s="10">
        <f>COUNTIF(I50:T50,"&gt;0")</f>
        <v/>
      </c>
      <c r="W50" s="10">
        <f>COUNT(I50:T50)</f>
        <v/>
      </c>
    </row>
    <row r="51">
      <c r="A51" s="6" t="n">
        <v>50</v>
      </c>
      <c r="B51" s="6" t="inlineStr">
        <is>
          <t>Staša</t>
        </is>
      </c>
      <c r="C51" s="6" t="inlineStr">
        <is>
          <t>Suša</t>
        </is>
      </c>
      <c r="D51" s="12" t="n">
        <v>41264</v>
      </c>
      <c r="E51" s="6" t="inlineStr">
        <is>
          <t>Obuka</t>
        </is>
      </c>
      <c r="F51" s="6" t="inlineStr">
        <is>
          <t>PK Taš011</t>
        </is>
      </c>
      <c r="G51" s="8" t="n">
        <v>7000</v>
      </c>
      <c r="H51" s="9" t="inlineStr">
        <is>
          <t>DA</t>
        </is>
      </c>
      <c r="I51" s="10" t="inlineStr"/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1" t="n">
        <v>7000</v>
      </c>
      <c r="U51" s="10">
        <f>SUM(I51:T51)</f>
        <v/>
      </c>
      <c r="V51" s="10">
        <f>COUNTIF(I51:T51,"&gt;0")</f>
        <v/>
      </c>
      <c r="W51" s="10">
        <f>COUNT(I51:T51)</f>
        <v/>
      </c>
    </row>
    <row r="52">
      <c r="A52" s="6" t="n">
        <v>51</v>
      </c>
      <c r="B52" s="6" t="inlineStr">
        <is>
          <t>Vanja</t>
        </is>
      </c>
      <c r="C52" s="6" t="inlineStr">
        <is>
          <t>Suša</t>
        </is>
      </c>
      <c r="D52" s="12" t="n">
        <v>42132</v>
      </c>
      <c r="E52" s="6" t="inlineStr">
        <is>
          <t>Obuka</t>
        </is>
      </c>
      <c r="F52" s="6" t="inlineStr">
        <is>
          <t>PK Taš011</t>
        </is>
      </c>
      <c r="G52" s="8" t="n">
        <v>3500</v>
      </c>
      <c r="H52" s="9" t="inlineStr">
        <is>
          <t>DA</t>
        </is>
      </c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1" t="n">
        <v>3500</v>
      </c>
      <c r="U52" s="10">
        <f>SUM(I52:T52)</f>
        <v/>
      </c>
      <c r="V52" s="10">
        <f>COUNTIF(I52:T52,"&gt;0")</f>
        <v/>
      </c>
      <c r="W52" s="10">
        <f>COUNT(I52:T52)</f>
        <v/>
      </c>
    </row>
    <row r="53">
      <c r="A53" s="6" t="n">
        <v>52</v>
      </c>
      <c r="B53" s="6" t="inlineStr">
        <is>
          <t>Marko</t>
        </is>
      </c>
      <c r="C53" s="6" t="inlineStr">
        <is>
          <t>Marjanović</t>
        </is>
      </c>
      <c r="D53" s="13" t="n">
        <v>40909</v>
      </c>
      <c r="E53" s="6" t="inlineStr">
        <is>
          <t>Obuka</t>
        </is>
      </c>
      <c r="F53" s="6" t="inlineStr">
        <is>
          <t>PK Taš011</t>
        </is>
      </c>
      <c r="G53" s="8" t="n">
        <v>7000</v>
      </c>
      <c r="H53" s="9" t="inlineStr">
        <is>
          <t>DA</t>
        </is>
      </c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1" t="n">
        <v>6000</v>
      </c>
      <c r="Q53" s="11" t="n">
        <v>6000</v>
      </c>
      <c r="R53" s="11" t="n">
        <v>6000</v>
      </c>
      <c r="S53" s="11" t="n">
        <v>6000</v>
      </c>
      <c r="T53" s="11" t="n">
        <v>7000</v>
      </c>
      <c r="U53" s="10">
        <f>SUM(I53:T53)</f>
        <v/>
      </c>
      <c r="V53" s="10">
        <f>COUNTIF(I53:T53,"&gt;0")</f>
        <v/>
      </c>
      <c r="W53" s="10">
        <f>COUNT(I53:T53)</f>
        <v/>
      </c>
    </row>
    <row r="54">
      <c r="A54" s="6" t="n">
        <v>53</v>
      </c>
      <c r="B54" s="6" t="inlineStr">
        <is>
          <t>Strahinja</t>
        </is>
      </c>
      <c r="C54" s="6" t="inlineStr">
        <is>
          <t>Tasić</t>
        </is>
      </c>
      <c r="D54" s="12" t="n">
        <v>42617</v>
      </c>
      <c r="E54" s="6" t="inlineStr">
        <is>
          <t>Obuka</t>
        </is>
      </c>
      <c r="F54" s="6" t="inlineStr">
        <is>
          <t>PK Taš011</t>
        </is>
      </c>
      <c r="G54" s="8" t="n">
        <v>7000</v>
      </c>
      <c r="H54" s="9" t="inlineStr">
        <is>
          <t>DA</t>
        </is>
      </c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1" t="n">
        <v>7000</v>
      </c>
      <c r="U54" s="10">
        <f>SUM(I54:T54)</f>
        <v/>
      </c>
      <c r="V54" s="10">
        <f>COUNTIF(I54:T54,"&gt;0")</f>
        <v/>
      </c>
      <c r="W54" s="10">
        <f>COUNT(I54:T54)</f>
        <v/>
      </c>
    </row>
    <row r="55">
      <c r="A55" s="6" t="n">
        <v>54</v>
      </c>
      <c r="B55" s="6" t="inlineStr">
        <is>
          <t>Marko</t>
        </is>
      </c>
      <c r="C55" s="6" t="inlineStr">
        <is>
          <t>Mitrović</t>
        </is>
      </c>
      <c r="D55" s="13" t="n">
        <v>42736</v>
      </c>
      <c r="E55" s="6" t="inlineStr">
        <is>
          <t>Obuka</t>
        </is>
      </c>
      <c r="F55" s="6" t="inlineStr">
        <is>
          <t>PK Taš011</t>
        </is>
      </c>
      <c r="G55" s="8" t="n">
        <v>7000</v>
      </c>
      <c r="H55" s="9" t="inlineStr">
        <is>
          <t>DA</t>
        </is>
      </c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>
        <f>SUM(I55:T55)</f>
        <v/>
      </c>
      <c r="V55" s="10">
        <f>COUNTIF(I55:T55,"&gt;0")</f>
        <v/>
      </c>
      <c r="W55" s="10">
        <f>COUNT(I55:T55)</f>
        <v/>
      </c>
    </row>
    <row r="56">
      <c r="A56" s="6" t="n">
        <v>55</v>
      </c>
      <c r="B56" s="6" t="inlineStr">
        <is>
          <t>Milica</t>
        </is>
      </c>
      <c r="C56" s="6" t="inlineStr">
        <is>
          <t>Saleta</t>
        </is>
      </c>
      <c r="D56" s="12" t="n">
        <v>43252</v>
      </c>
      <c r="E56" s="6" t="inlineStr">
        <is>
          <t>Obuka</t>
        </is>
      </c>
      <c r="F56" s="6" t="inlineStr">
        <is>
          <t>PK Taš011</t>
        </is>
      </c>
      <c r="G56" s="8" t="n">
        <v>3500</v>
      </c>
      <c r="H56" s="9" t="inlineStr">
        <is>
          <t>DA</t>
        </is>
      </c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1" t="n">
        <v>5000</v>
      </c>
      <c r="U56" s="10">
        <f>SUM(I56:T56)</f>
        <v/>
      </c>
      <c r="V56" s="10">
        <f>COUNTIF(I56:T56,"&gt;0")</f>
        <v/>
      </c>
      <c r="W56" s="10">
        <f>COUNT(I56:T56)</f>
        <v/>
      </c>
    </row>
    <row r="57">
      <c r="A57" s="6" t="n">
        <v>56</v>
      </c>
      <c r="B57" s="6" t="inlineStr">
        <is>
          <t>Novak</t>
        </is>
      </c>
      <c r="C57" s="6" t="inlineStr">
        <is>
          <t>Saleta</t>
        </is>
      </c>
      <c r="D57" s="12" t="n">
        <v>44276</v>
      </c>
      <c r="E57" s="6" t="inlineStr">
        <is>
          <t>Obuka</t>
        </is>
      </c>
      <c r="F57" s="6" t="inlineStr">
        <is>
          <t>PK Taš011</t>
        </is>
      </c>
      <c r="G57" s="8" t="n">
        <v>3500</v>
      </c>
      <c r="H57" s="9" t="inlineStr">
        <is>
          <t>DA</t>
        </is>
      </c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1" t="n">
        <v>2000</v>
      </c>
      <c r="U57" s="10">
        <f>SUM(I57:T57)</f>
        <v/>
      </c>
      <c r="V57" s="10">
        <f>COUNTIF(I57:T57,"&gt;0")</f>
        <v/>
      </c>
      <c r="W57" s="10">
        <f>COUNT(I57:T57)</f>
        <v/>
      </c>
    </row>
    <row r="58">
      <c r="A58" s="6" t="n">
        <v>57</v>
      </c>
      <c r="B58" s="6" t="inlineStr">
        <is>
          <t>Sava</t>
        </is>
      </c>
      <c r="C58" s="6" t="inlineStr">
        <is>
          <t>Grdinac</t>
        </is>
      </c>
      <c r="D58" s="13" t="n">
        <v>42370</v>
      </c>
      <c r="E58" s="6" t="inlineStr">
        <is>
          <t>Obuka</t>
        </is>
      </c>
      <c r="F58" s="6" t="inlineStr">
        <is>
          <t>PK Taš011</t>
        </is>
      </c>
      <c r="G58" s="8" t="n">
        <v>7000</v>
      </c>
      <c r="H58" s="9" t="inlineStr">
        <is>
          <t>DA</t>
        </is>
      </c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1" t="n">
        <v>6000</v>
      </c>
      <c r="Q58" s="14" t="n">
        <v>0</v>
      </c>
      <c r="R58" s="14" t="n">
        <v>0</v>
      </c>
      <c r="S58" s="14" t="n">
        <v>0</v>
      </c>
      <c r="T58" s="10" t="inlineStr"/>
      <c r="U58" s="10">
        <f>SUM(I58:T58)</f>
        <v/>
      </c>
      <c r="V58" s="10">
        <f>COUNTIF(I58:T58,"&gt;0")</f>
        <v/>
      </c>
      <c r="W58" s="10">
        <f>COUNT(I58:T58)</f>
        <v/>
      </c>
    </row>
    <row r="59">
      <c r="A59" s="6" t="n">
        <v>58</v>
      </c>
      <c r="B59" s="6" t="inlineStr">
        <is>
          <t>Elena</t>
        </is>
      </c>
      <c r="C59" s="6" t="inlineStr">
        <is>
          <t>Nikolić</t>
        </is>
      </c>
      <c r="D59" s="12" t="n">
        <v>41244</v>
      </c>
      <c r="E59" s="6" t="inlineStr">
        <is>
          <t>Obuka</t>
        </is>
      </c>
      <c r="F59" s="6" t="inlineStr">
        <is>
          <t>PK Taš011</t>
        </is>
      </c>
      <c r="G59" s="8" t="n">
        <v>7000</v>
      </c>
      <c r="H59" s="9" t="inlineStr">
        <is>
          <t>DA</t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1" t="n">
        <v>6000</v>
      </c>
      <c r="Q59" s="11" t="n">
        <v>6000</v>
      </c>
      <c r="R59" s="14" t="n">
        <v>0</v>
      </c>
      <c r="S59" s="11" t="n">
        <v>9000</v>
      </c>
      <c r="T59" s="10" t="inlineStr"/>
      <c r="U59" s="10">
        <f>SUM(I59:T59)</f>
        <v/>
      </c>
      <c r="V59" s="10">
        <f>COUNTIF(I59:T59,"&gt;0")</f>
        <v/>
      </c>
      <c r="W59" s="10">
        <f>COUNT(I59:T59)</f>
        <v/>
      </c>
    </row>
    <row r="60">
      <c r="A60" s="6" t="n">
        <v>59</v>
      </c>
      <c r="B60" s="6" t="inlineStr">
        <is>
          <t>Gregori</t>
        </is>
      </c>
      <c r="C60" s="6" t="inlineStr">
        <is>
          <t>Kuchurenko</t>
        </is>
      </c>
      <c r="D60" s="13" t="n">
        <v>41275</v>
      </c>
      <c r="E60" s="6" t="inlineStr">
        <is>
          <t>Obuka</t>
        </is>
      </c>
      <c r="F60" s="6" t="inlineStr">
        <is>
          <t>PK Taš011</t>
        </is>
      </c>
      <c r="G60" s="8" t="n">
        <v>7000</v>
      </c>
      <c r="H60" s="9" t="inlineStr">
        <is>
          <t>DA</t>
        </is>
      </c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1" t="n">
        <v>6000</v>
      </c>
      <c r="Q60" s="11" t="n">
        <v>6000</v>
      </c>
      <c r="R60" s="14" t="n">
        <v>0</v>
      </c>
      <c r="S60" s="14" t="n">
        <v>0</v>
      </c>
      <c r="T60" s="14" t="n">
        <v>0</v>
      </c>
      <c r="U60" s="10">
        <f>SUM(I60:T60)</f>
        <v/>
      </c>
      <c r="V60" s="10">
        <f>COUNTIF(I60:T60,"&gt;0")</f>
        <v/>
      </c>
      <c r="W60" s="10">
        <f>COUNT(I60:T60)</f>
        <v/>
      </c>
    </row>
    <row r="61">
      <c r="A61" s="6" t="n">
        <v>60</v>
      </c>
      <c r="B61" s="6" t="inlineStr">
        <is>
          <t>Mate</t>
        </is>
      </c>
      <c r="C61" s="6" t="inlineStr">
        <is>
          <t>Majstorović</t>
        </is>
      </c>
      <c r="D61" s="12" t="n">
        <v>41737</v>
      </c>
      <c r="E61" s="6" t="inlineStr">
        <is>
          <t>Obuka</t>
        </is>
      </c>
      <c r="F61" s="6" t="inlineStr">
        <is>
          <t>PK Taš011</t>
        </is>
      </c>
      <c r="G61" s="8" t="n">
        <v>7000</v>
      </c>
      <c r="H61" s="9" t="inlineStr">
        <is>
          <t>DA</t>
        </is>
      </c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1" t="n">
        <v>6000</v>
      </c>
      <c r="T61" s="11" t="n">
        <v>7000</v>
      </c>
      <c r="U61" s="10">
        <f>SUM(I61:T61)</f>
        <v/>
      </c>
      <c r="V61" s="10">
        <f>COUNTIF(I61:T61,"&gt;0")</f>
        <v/>
      </c>
      <c r="W61" s="10">
        <f>COUNT(I61:T61)</f>
        <v/>
      </c>
    </row>
    <row r="62">
      <c r="A62" s="6" t="n">
        <v>61</v>
      </c>
      <c r="B62" s="6" t="inlineStr">
        <is>
          <t>Pavle</t>
        </is>
      </c>
      <c r="C62" s="6" t="inlineStr">
        <is>
          <t>Radovanović</t>
        </is>
      </c>
      <c r="D62" s="13" t="n">
        <v>43101</v>
      </c>
      <c r="E62" s="6" t="inlineStr">
        <is>
          <t>Obuka</t>
        </is>
      </c>
      <c r="F62" s="6" t="inlineStr">
        <is>
          <t>PK Taš011</t>
        </is>
      </c>
      <c r="G62" s="8" t="n">
        <v>7000</v>
      </c>
      <c r="H62" s="9" t="inlineStr">
        <is>
          <t>DA</t>
        </is>
      </c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1" t="n">
        <v>6000</v>
      </c>
      <c r="R62" s="14" t="n">
        <v>0</v>
      </c>
      <c r="S62" s="11" t="n">
        <v>6000</v>
      </c>
      <c r="T62" s="11" t="n">
        <v>7000</v>
      </c>
      <c r="U62" s="10">
        <f>SUM(I62:T62)</f>
        <v/>
      </c>
      <c r="V62" s="10">
        <f>COUNTIF(I62:T62,"&gt;0")</f>
        <v/>
      </c>
      <c r="W62" s="10">
        <f>COUNT(I62:T62)</f>
        <v/>
      </c>
    </row>
    <row r="63">
      <c r="A63" s="6" t="n">
        <v>62</v>
      </c>
      <c r="B63" s="6" t="inlineStr">
        <is>
          <t>Bpogdan</t>
        </is>
      </c>
      <c r="C63" s="6" t="inlineStr">
        <is>
          <t>Jovanović</t>
        </is>
      </c>
      <c r="D63" s="12" t="n">
        <v>43293</v>
      </c>
      <c r="E63" s="6" t="inlineStr">
        <is>
          <t>Obuka</t>
        </is>
      </c>
      <c r="F63" s="6" t="inlineStr">
        <is>
          <t>PK Taš011</t>
        </is>
      </c>
      <c r="G63" s="8" t="n">
        <v>7000</v>
      </c>
      <c r="H63" s="9" t="inlineStr">
        <is>
          <t>DA</t>
        </is>
      </c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1" t="n">
        <v>7000</v>
      </c>
      <c r="U63" s="10">
        <f>SUM(I63:T63)</f>
        <v/>
      </c>
      <c r="V63" s="10">
        <f>COUNTIF(I63:T63,"&gt;0")</f>
        <v/>
      </c>
      <c r="W63" s="10">
        <f>COUNT(I63:T63)</f>
        <v/>
      </c>
    </row>
    <row r="64">
      <c r="A64" s="6" t="n">
        <v>63</v>
      </c>
      <c r="B64" s="6" t="inlineStr">
        <is>
          <t>Sofija</t>
        </is>
      </c>
      <c r="C64" s="6" t="inlineStr">
        <is>
          <t>Tufegdžić</t>
        </is>
      </c>
      <c r="D64" s="13" t="n">
        <v>41275</v>
      </c>
      <c r="E64" s="6" t="inlineStr">
        <is>
          <t>Obuka</t>
        </is>
      </c>
      <c r="F64" s="6" t="inlineStr">
        <is>
          <t>PK Taš011</t>
        </is>
      </c>
      <c r="G64" s="8" t="n">
        <v>7500</v>
      </c>
      <c r="H64" s="9" t="inlineStr">
        <is>
          <t>DA</t>
        </is>
      </c>
      <c r="I64" s="11" t="n">
        <v>6000</v>
      </c>
      <c r="J64" s="11" t="n">
        <v>6000</v>
      </c>
      <c r="K64" s="11" t="n">
        <v>6000</v>
      </c>
      <c r="L64" s="14" t="n">
        <v>0</v>
      </c>
      <c r="M64" s="11" t="n">
        <v>6000</v>
      </c>
      <c r="N64" s="11" t="n">
        <v>6000</v>
      </c>
      <c r="O64" s="11" t="n">
        <v>6000</v>
      </c>
      <c r="P64" s="11" t="n">
        <v>6000</v>
      </c>
      <c r="Q64" s="14" t="n">
        <v>0</v>
      </c>
      <c r="R64" s="11" t="n">
        <v>6000</v>
      </c>
      <c r="S64" s="14" t="n">
        <v>0</v>
      </c>
      <c r="T64" s="11" t="n">
        <v>7500</v>
      </c>
      <c r="U64" s="10">
        <f>SUM(I64:T64)</f>
        <v/>
      </c>
      <c r="V64" s="10">
        <f>COUNTIF(I64:T64,"&gt;0")</f>
        <v/>
      </c>
      <c r="W64" s="10">
        <f>COUNT(I64:T64)</f>
        <v/>
      </c>
    </row>
    <row r="65">
      <c r="A65" s="6" t="n">
        <v>64</v>
      </c>
      <c r="B65" s="6" t="inlineStr">
        <is>
          <t>Filip</t>
        </is>
      </c>
      <c r="C65" s="6" t="inlineStr">
        <is>
          <t>Ivić</t>
        </is>
      </c>
      <c r="D65" s="13" t="n">
        <v>41275</v>
      </c>
      <c r="E65" s="6" t="inlineStr">
        <is>
          <t>Obuka</t>
        </is>
      </c>
      <c r="F65" s="6" t="inlineStr">
        <is>
          <t>PK Taš011</t>
        </is>
      </c>
      <c r="G65" s="8" t="n">
        <v>7000</v>
      </c>
      <c r="H65" s="9" t="inlineStr">
        <is>
          <t>DA</t>
        </is>
      </c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1" t="n">
        <v>6500</v>
      </c>
      <c r="T65" s="11" t="n">
        <v>7000</v>
      </c>
      <c r="U65" s="10">
        <f>SUM(I65:T65)</f>
        <v/>
      </c>
      <c r="V65" s="10">
        <f>COUNTIF(I65:T65,"&gt;0")</f>
        <v/>
      </c>
      <c r="W65" s="10">
        <f>COUNT(I65:T65)</f>
        <v/>
      </c>
    </row>
    <row r="66">
      <c r="A66" s="6" t="n">
        <v>65</v>
      </c>
      <c r="B66" s="6" t="inlineStr">
        <is>
          <t>Gleb</t>
        </is>
      </c>
      <c r="C66" s="6" t="inlineStr">
        <is>
          <t>Antonov</t>
        </is>
      </c>
      <c r="D66" s="12" t="n">
        <v>42620</v>
      </c>
      <c r="E66" s="6" t="inlineStr">
        <is>
          <t>Obuka</t>
        </is>
      </c>
      <c r="F66" s="6" t="inlineStr">
        <is>
          <t>PK Taš011</t>
        </is>
      </c>
      <c r="G66" s="8" t="n">
        <v>7000</v>
      </c>
      <c r="H66" s="9" t="inlineStr">
        <is>
          <t>DA</t>
        </is>
      </c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1" t="n">
        <v>6000</v>
      </c>
      <c r="U66" s="10">
        <f>SUM(I66:T66)</f>
        <v/>
      </c>
      <c r="V66" s="10">
        <f>COUNTIF(I66:T66,"&gt;0")</f>
        <v/>
      </c>
      <c r="W66" s="10">
        <f>COUNT(I66:T66)</f>
        <v/>
      </c>
    </row>
    <row r="67">
      <c r="A67" s="6" t="n">
        <v>66</v>
      </c>
      <c r="B67" s="15" t="inlineStr">
        <is>
          <t>Viktor</t>
        </is>
      </c>
      <c r="C67" s="6" t="inlineStr">
        <is>
          <t>Arekatis Milosavljevic</t>
        </is>
      </c>
      <c r="D67" s="7" t="n">
        <v>1</v>
      </c>
      <c r="E67" s="6" t="inlineStr">
        <is>
          <t>Obuka</t>
        </is>
      </c>
      <c r="F67" s="6" t="inlineStr">
        <is>
          <t>PK Taš011</t>
        </is>
      </c>
      <c r="G67" s="8" t="n">
        <v>7000</v>
      </c>
      <c r="H67" s="9" t="inlineStr">
        <is>
          <t>DA</t>
        </is>
      </c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>
        <f>SUM(I67:T67)</f>
        <v/>
      </c>
      <c r="V67" s="10">
        <f>COUNTIF(I67:T67,"&gt;0")</f>
        <v/>
      </c>
      <c r="W67" s="10">
        <f>COUNT(I67:T67)</f>
        <v/>
      </c>
    </row>
    <row r="68">
      <c r="A68" s="6" t="n">
        <v>67</v>
      </c>
      <c r="B68" s="6" t="inlineStr">
        <is>
          <t>Teodor</t>
        </is>
      </c>
      <c r="C68" s="6" t="inlineStr">
        <is>
          <t>Raih</t>
        </is>
      </c>
      <c r="D68" s="12" t="n">
        <v>43663</v>
      </c>
      <c r="E68" s="6" t="inlineStr">
        <is>
          <t>Obuka</t>
        </is>
      </c>
      <c r="F68" s="6" t="inlineStr">
        <is>
          <t>PK Taš011</t>
        </is>
      </c>
      <c r="G68" s="8" t="n">
        <v>7000</v>
      </c>
      <c r="H68" s="9" t="inlineStr">
        <is>
          <t>DA</t>
        </is>
      </c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  <c r="S68" s="10" t="inlineStr"/>
      <c r="T68" s="10" t="inlineStr"/>
      <c r="U68" s="10">
        <f>SUM(I68:T68)</f>
        <v/>
      </c>
      <c r="V68" s="10">
        <f>COUNTIF(I68:T68,"&gt;0")</f>
        <v/>
      </c>
      <c r="W68" s="10">
        <f>COUNT(I68:T68)</f>
        <v/>
      </c>
    </row>
    <row r="69">
      <c r="A69" s="6" t="n">
        <v>68</v>
      </c>
      <c r="B69" s="6" t="inlineStr">
        <is>
          <t>Lav</t>
        </is>
      </c>
      <c r="C69" s="6" t="inlineStr">
        <is>
          <t>Petrić</t>
        </is>
      </c>
      <c r="D69" s="12" t="n">
        <v>42785</v>
      </c>
      <c r="E69" s="6" t="inlineStr">
        <is>
          <t>Obuka</t>
        </is>
      </c>
      <c r="F69" s="6" t="inlineStr">
        <is>
          <t>PK Taš011</t>
        </is>
      </c>
      <c r="G69" s="8" t="n">
        <v>7000</v>
      </c>
      <c r="H69" s="9" t="inlineStr">
        <is>
          <t>DA</t>
        </is>
      </c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0">
        <f>SUM(I69:T69)</f>
        <v/>
      </c>
      <c r="V69" s="10">
        <f>COUNTIF(I69:T69,"&gt;0")</f>
        <v/>
      </c>
      <c r="W69" s="10">
        <f>COUNT(I69:T69)</f>
        <v/>
      </c>
    </row>
    <row r="70">
      <c r="A70" s="6" t="n">
        <v>69</v>
      </c>
      <c r="B70" s="6" t="inlineStr">
        <is>
          <t>Lenka</t>
        </is>
      </c>
      <c r="C70" s="6" t="inlineStr">
        <is>
          <t>Janićijević</t>
        </is>
      </c>
      <c r="D70" s="12" t="n">
        <v>42557</v>
      </c>
      <c r="E70" s="6" t="inlineStr">
        <is>
          <t>Obuka</t>
        </is>
      </c>
      <c r="F70" s="6" t="inlineStr">
        <is>
          <t>PK Taš011</t>
        </is>
      </c>
      <c r="G70" s="8" t="n">
        <v>7000</v>
      </c>
      <c r="H70" s="9" t="inlineStr">
        <is>
          <t>DA</t>
        </is>
      </c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0" t="inlineStr"/>
      <c r="U70" s="10">
        <f>SUM(I70:T70)</f>
        <v/>
      </c>
      <c r="V70" s="10">
        <f>COUNTIF(I70:T70,"&gt;0")</f>
        <v/>
      </c>
      <c r="W70" s="10">
        <f>COUNT(I70:T70)</f>
        <v/>
      </c>
    </row>
    <row r="71">
      <c r="A71" s="6" t="n">
        <v>70</v>
      </c>
      <c r="B71" s="6" t="inlineStr">
        <is>
          <t>Marta</t>
        </is>
      </c>
      <c r="C71" s="6" t="inlineStr">
        <is>
          <t>Senić</t>
        </is>
      </c>
      <c r="D71" s="12" t="n">
        <v>41350</v>
      </c>
      <c r="E71" s="6" t="inlineStr">
        <is>
          <t>Obuka</t>
        </is>
      </c>
      <c r="F71" s="6" t="inlineStr">
        <is>
          <t>PK Taš011</t>
        </is>
      </c>
      <c r="G71" s="8" t="n">
        <v>7000</v>
      </c>
      <c r="H71" s="9" t="inlineStr">
        <is>
          <t>DA</t>
        </is>
      </c>
      <c r="I71" s="10" t="inlineStr"/>
      <c r="J71" s="10" t="inlineStr"/>
      <c r="K71" s="10" t="inlineStr"/>
      <c r="L71" s="10" t="inlineStr"/>
      <c r="M71" s="10" t="inlineStr"/>
      <c r="N71" s="10" t="inlineStr"/>
      <c r="O71" s="10" t="inlineStr"/>
      <c r="P71" s="10" t="inlineStr"/>
      <c r="Q71" s="10" t="inlineStr"/>
      <c r="R71" s="10" t="inlineStr"/>
      <c r="S71" s="10" t="inlineStr"/>
      <c r="T71" s="14" t="n">
        <v>0</v>
      </c>
      <c r="U71" s="10">
        <f>SUM(I71:T71)</f>
        <v/>
      </c>
      <c r="V71" s="10">
        <f>COUNTIF(I71:T71,"&gt;0")</f>
        <v/>
      </c>
      <c r="W71" s="10">
        <f>COUNT(I71:T71)</f>
        <v/>
      </c>
    </row>
    <row r="72">
      <c r="A72" s="6" t="n">
        <v>71</v>
      </c>
      <c r="B72" s="6" t="inlineStr">
        <is>
          <t>Mila</t>
        </is>
      </c>
      <c r="C72" s="6" t="inlineStr">
        <is>
          <t>Senić</t>
        </is>
      </c>
      <c r="D72" s="12" t="n">
        <v>42478</v>
      </c>
      <c r="E72" s="6" t="inlineStr">
        <is>
          <t>Obuka</t>
        </is>
      </c>
      <c r="F72" s="6" t="inlineStr">
        <is>
          <t>PK Taš011</t>
        </is>
      </c>
      <c r="G72" s="8" t="n">
        <v>3500</v>
      </c>
      <c r="H72" s="9" t="inlineStr">
        <is>
          <t>DA</t>
        </is>
      </c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  <c r="P72" s="10" t="inlineStr"/>
      <c r="Q72" s="10" t="inlineStr"/>
      <c r="R72" s="10" t="inlineStr"/>
      <c r="S72" s="10" t="inlineStr"/>
      <c r="T72" s="14" t="n">
        <v>0</v>
      </c>
      <c r="U72" s="10">
        <f>SUM(I72:T72)</f>
        <v/>
      </c>
      <c r="V72" s="10">
        <f>COUNTIF(I72:T72,"&gt;0")</f>
        <v/>
      </c>
      <c r="W72" s="10">
        <f>COUNT(I72:T72)</f>
        <v/>
      </c>
    </row>
    <row r="73">
      <c r="A73" s="6" t="n">
        <v>72</v>
      </c>
      <c r="B73" s="6" t="inlineStr">
        <is>
          <t>Arsen</t>
        </is>
      </c>
      <c r="C73" s="6" t="inlineStr">
        <is>
          <t>Luković</t>
        </is>
      </c>
      <c r="D73" s="12" t="n">
        <v>44921</v>
      </c>
      <c r="E73" s="6" t="inlineStr">
        <is>
          <t>Obuka</t>
        </is>
      </c>
      <c r="F73" s="6" t="inlineStr">
        <is>
          <t>PK Taš011</t>
        </is>
      </c>
      <c r="G73" s="8" t="n">
        <v>7000</v>
      </c>
      <c r="H73" s="9" t="inlineStr">
        <is>
          <t>DA</t>
        </is>
      </c>
      <c r="I73" s="10" t="inlineStr"/>
      <c r="J73" s="10" t="inlineStr"/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  <c r="R73" s="10" t="inlineStr"/>
      <c r="S73" s="10" t="inlineStr"/>
      <c r="T73" s="10" t="inlineStr"/>
      <c r="U73" s="10">
        <f>SUM(I73:T73)</f>
        <v/>
      </c>
      <c r="V73" s="10">
        <f>COUNTIF(I73:T73,"&gt;0")</f>
        <v/>
      </c>
      <c r="W73" s="10">
        <f>COUNT(I73:T73)</f>
        <v/>
      </c>
    </row>
    <row r="74">
      <c r="A74" s="6" t="n">
        <v>73</v>
      </c>
      <c r="B74" s="6" t="inlineStr">
        <is>
          <t>Lara</t>
        </is>
      </c>
      <c r="C74" s="6" t="inlineStr">
        <is>
          <t>Nikolić</t>
        </is>
      </c>
      <c r="D74" s="13" t="n">
        <v>43101</v>
      </c>
      <c r="E74" s="6" t="inlineStr">
        <is>
          <t>Obuka</t>
        </is>
      </c>
      <c r="F74" s="6" t="inlineStr">
        <is>
          <t>PK Taš011</t>
        </is>
      </c>
      <c r="G74" s="16" t="n">
        <v>0</v>
      </c>
      <c r="H74" s="9" t="inlineStr">
        <is>
          <t>NE</t>
        </is>
      </c>
      <c r="I74" s="14" t="n">
        <v>0</v>
      </c>
      <c r="J74" s="14" t="n">
        <v>0</v>
      </c>
      <c r="K74" s="11" t="n">
        <v>3000</v>
      </c>
      <c r="L74" s="11" t="n">
        <v>3000</v>
      </c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0" t="inlineStr"/>
      <c r="U74" s="10">
        <f>SUM(I74:T74)</f>
        <v/>
      </c>
      <c r="V74" s="10">
        <f>COUNTIF(I74:T74,"&gt;0")</f>
        <v/>
      </c>
      <c r="W74" s="10">
        <f>COUNT(I74:T74)</f>
        <v/>
      </c>
    </row>
    <row r="75">
      <c r="A75" s="6" t="n">
        <v>74</v>
      </c>
      <c r="B75" s="6" t="inlineStr">
        <is>
          <t>Vojin</t>
        </is>
      </c>
      <c r="C75" s="6" t="inlineStr">
        <is>
          <t>Vujisić</t>
        </is>
      </c>
      <c r="D75" s="12" t="n">
        <v>43531</v>
      </c>
      <c r="E75" s="6" t="inlineStr">
        <is>
          <t>Obuka</t>
        </is>
      </c>
      <c r="F75" s="6" t="inlineStr">
        <is>
          <t>PK Taš011</t>
        </is>
      </c>
      <c r="G75" s="8" t="n">
        <v>7000</v>
      </c>
      <c r="H75" s="9" t="inlineStr">
        <is>
          <t>DA</t>
        </is>
      </c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 t="inlineStr"/>
      <c r="U75" s="10">
        <f>SUM(I75:T75)</f>
        <v/>
      </c>
      <c r="V75" s="10">
        <f>COUNTIF(I75:T75,"&gt;0")</f>
        <v/>
      </c>
      <c r="W75" s="10">
        <f>COUNT(I75:T75)</f>
        <v/>
      </c>
    </row>
    <row r="76">
      <c r="A76" s="6" t="n">
        <v>75</v>
      </c>
      <c r="B76" s="6" t="inlineStr">
        <is>
          <t>Helena</t>
        </is>
      </c>
      <c r="C76" s="6" t="inlineStr">
        <is>
          <t>Lazarov</t>
        </is>
      </c>
      <c r="D76" s="12" t="n">
        <v>43575</v>
      </c>
      <c r="E76" s="6" t="inlineStr">
        <is>
          <t>Obuka</t>
        </is>
      </c>
      <c r="F76" s="6" t="inlineStr">
        <is>
          <t>PK Taš011</t>
        </is>
      </c>
      <c r="G76" s="8" t="n">
        <v>7000</v>
      </c>
      <c r="H76" s="9" t="inlineStr">
        <is>
          <t>DA</t>
        </is>
      </c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  <c r="T76" s="10" t="inlineStr"/>
      <c r="U76" s="10">
        <f>SUM(I76:T76)</f>
        <v/>
      </c>
      <c r="V76" s="10">
        <f>COUNTIF(I76:T76,"&gt;0")</f>
        <v/>
      </c>
      <c r="W76" s="10">
        <f>COUNT(I76:T76)</f>
        <v/>
      </c>
    </row>
    <row r="77">
      <c r="A77" s="6" t="n">
        <v>76</v>
      </c>
      <c r="B77" s="6" t="inlineStr">
        <is>
          <t>Teodora</t>
        </is>
      </c>
      <c r="C77" s="6" t="inlineStr">
        <is>
          <t>Lazarov</t>
        </is>
      </c>
      <c r="D77" s="12" t="n">
        <v>41589</v>
      </c>
      <c r="E77" s="6" t="inlineStr">
        <is>
          <t>Obuka</t>
        </is>
      </c>
      <c r="F77" s="6" t="inlineStr">
        <is>
          <t>PK Taš011</t>
        </is>
      </c>
      <c r="G77" s="8" t="n">
        <v>3500</v>
      </c>
      <c r="H77" s="9" t="inlineStr">
        <is>
          <t>DA</t>
        </is>
      </c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0" t="inlineStr"/>
      <c r="Q77" s="10" t="inlineStr"/>
      <c r="R77" s="10" t="inlineStr"/>
      <c r="S77" s="10" t="inlineStr"/>
      <c r="T77" s="10" t="inlineStr"/>
      <c r="U77" s="10">
        <f>SUM(I77:T77)</f>
        <v/>
      </c>
      <c r="V77" s="10">
        <f>COUNTIF(I77:T77,"&gt;0")</f>
        <v/>
      </c>
      <c r="W77" s="10">
        <f>COUNT(I77:T77)</f>
        <v/>
      </c>
    </row>
    <row r="78">
      <c r="A78" s="6" t="n">
        <v>77</v>
      </c>
      <c r="B78" s="6" t="inlineStr">
        <is>
          <t>Mihajlo</t>
        </is>
      </c>
      <c r="C78" s="6" t="inlineStr">
        <is>
          <t>Lazović</t>
        </is>
      </c>
      <c r="D78" s="13" t="n">
        <v>42370</v>
      </c>
      <c r="E78" s="6" t="inlineStr">
        <is>
          <t>Obuka</t>
        </is>
      </c>
      <c r="F78" s="6" t="inlineStr">
        <is>
          <t>PK Taš011</t>
        </is>
      </c>
      <c r="G78" s="8" t="n">
        <v>7000</v>
      </c>
      <c r="H78" s="9" t="inlineStr">
        <is>
          <t>DA</t>
        </is>
      </c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  <c r="T78" s="10" t="inlineStr"/>
      <c r="U78" s="10">
        <f>SUM(I78:T78)</f>
        <v/>
      </c>
      <c r="V78" s="10">
        <f>COUNTIF(I78:T78,"&gt;0")</f>
        <v/>
      </c>
      <c r="W78" s="10">
        <f>COUNT(I78:T78)</f>
        <v/>
      </c>
    </row>
    <row r="79">
      <c r="A79" s="6" t="n">
        <v>78</v>
      </c>
      <c r="B79" s="6" t="inlineStr">
        <is>
          <t>Edin</t>
        </is>
      </c>
      <c r="C79" s="6" t="inlineStr">
        <is>
          <t>Ramadani</t>
        </is>
      </c>
      <c r="D79" s="12" t="n">
        <v>41556</v>
      </c>
      <c r="E79" s="6" t="inlineStr">
        <is>
          <t>Obuka</t>
        </is>
      </c>
      <c r="F79" s="6" t="inlineStr">
        <is>
          <t>PK Taš011</t>
        </is>
      </c>
      <c r="G79" s="8" t="n">
        <v>7000</v>
      </c>
      <c r="H79" s="9" t="inlineStr">
        <is>
          <t>DA</t>
        </is>
      </c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0" t="inlineStr"/>
      <c r="T79" s="10" t="inlineStr"/>
      <c r="U79" s="10">
        <f>SUM(I79:T79)</f>
        <v/>
      </c>
      <c r="V79" s="10">
        <f>COUNTIF(I79:T79,"&gt;0")</f>
        <v/>
      </c>
      <c r="W79" s="10">
        <f>COUNT(I79:T79)</f>
        <v/>
      </c>
    </row>
    <row r="80">
      <c r="A80" s="6" t="n">
        <v>79</v>
      </c>
      <c r="B80" s="6" t="inlineStr">
        <is>
          <t>Luka</t>
        </is>
      </c>
      <c r="C80" s="6" t="inlineStr">
        <is>
          <t>Bulatović</t>
        </is>
      </c>
      <c r="D80" s="12" t="n">
        <v>42510</v>
      </c>
      <c r="E80" s="6" t="inlineStr">
        <is>
          <t>Obuka</t>
        </is>
      </c>
      <c r="F80" s="6" t="inlineStr">
        <is>
          <t>PK Taš011</t>
        </is>
      </c>
      <c r="G80" s="8" t="n">
        <v>7000</v>
      </c>
      <c r="H80" s="9" t="inlineStr">
        <is>
          <t>DA</t>
        </is>
      </c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  <c r="T80" s="11" t="n">
        <v>3500</v>
      </c>
      <c r="U80" s="10">
        <f>SUM(I80:T80)</f>
        <v/>
      </c>
      <c r="V80" s="10">
        <f>COUNTIF(I80:T80,"&gt;0")</f>
        <v/>
      </c>
      <c r="W80" s="10">
        <f>COUNT(I80:T80)</f>
        <v/>
      </c>
    </row>
    <row r="81">
      <c r="A81" s="6" t="n">
        <v>80</v>
      </c>
      <c r="B81" s="6" t="inlineStr">
        <is>
          <t>Lena</t>
        </is>
      </c>
      <c r="C81" s="6" t="inlineStr">
        <is>
          <t>Suša</t>
        </is>
      </c>
      <c r="D81" s="12" t="n">
        <v>40399</v>
      </c>
      <c r="E81" s="6" t="inlineStr">
        <is>
          <t>Obuka</t>
        </is>
      </c>
      <c r="F81" s="6" t="inlineStr">
        <is>
          <t>PK Taš011</t>
        </is>
      </c>
      <c r="G81" s="8" t="n">
        <v>7000</v>
      </c>
      <c r="H81" s="9" t="inlineStr">
        <is>
          <t>DA</t>
        </is>
      </c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 t="inlineStr"/>
      <c r="U81" s="10">
        <f>SUM(I81:T81)</f>
        <v/>
      </c>
      <c r="V81" s="10">
        <f>COUNTIF(I81:T81,"&gt;0")</f>
        <v/>
      </c>
      <c r="W81" s="10">
        <f>COUNT(I81:T81)</f>
        <v/>
      </c>
    </row>
    <row r="82">
      <c r="A82" s="6" t="n">
        <v>81</v>
      </c>
      <c r="B82" s="6" t="inlineStr">
        <is>
          <t>Andrej</t>
        </is>
      </c>
      <c r="C82" s="6" t="inlineStr">
        <is>
          <t>Golić</t>
        </is>
      </c>
      <c r="D82" s="12" t="n">
        <v>42733</v>
      </c>
      <c r="E82" s="6" t="inlineStr">
        <is>
          <t>Obuka</t>
        </is>
      </c>
      <c r="F82" s="6" t="inlineStr">
        <is>
          <t>PK Taš011</t>
        </is>
      </c>
      <c r="G82" s="8" t="n">
        <v>7000</v>
      </c>
      <c r="H82" s="9" t="inlineStr">
        <is>
          <t>DA</t>
        </is>
      </c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 t="inlineStr"/>
      <c r="T82" s="10" t="inlineStr"/>
      <c r="U82" s="10">
        <f>SUM(I82:T82)</f>
        <v/>
      </c>
      <c r="V82" s="10">
        <f>COUNTIF(I82:T82,"&gt;0")</f>
        <v/>
      </c>
      <c r="W82" s="10">
        <f>COUNT(I82:T82)</f>
        <v/>
      </c>
    </row>
    <row r="83">
      <c r="A83" s="6" t="n">
        <v>82</v>
      </c>
      <c r="B83" s="6" t="inlineStr">
        <is>
          <t>Dunja</t>
        </is>
      </c>
      <c r="C83" s="6" t="inlineStr">
        <is>
          <t>Simić</t>
        </is>
      </c>
      <c r="D83" s="12" t="n">
        <v>44278</v>
      </c>
      <c r="E83" s="6" t="inlineStr">
        <is>
          <t>Obuka</t>
        </is>
      </c>
      <c r="F83" s="6" t="inlineStr">
        <is>
          <t>PK Taš011</t>
        </is>
      </c>
      <c r="G83" s="8" t="n">
        <v>7000</v>
      </c>
      <c r="H83" s="9" t="inlineStr">
        <is>
          <t>DA</t>
        </is>
      </c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 t="inlineStr"/>
      <c r="U83" s="10">
        <f>SUM(I83:T83)</f>
        <v/>
      </c>
      <c r="V83" s="10">
        <f>COUNTIF(I83:T83,"&gt;0")</f>
        <v/>
      </c>
      <c r="W83" s="10">
        <f>COUNT(I83:T83)</f>
        <v/>
      </c>
    </row>
    <row r="84">
      <c r="A84" s="6" t="n">
        <v>83</v>
      </c>
      <c r="B84" s="6" t="inlineStr">
        <is>
          <t>Uroš</t>
        </is>
      </c>
      <c r="C84" s="6" t="inlineStr">
        <is>
          <t>Petrović</t>
        </is>
      </c>
      <c r="D84" s="12" t="n">
        <v>44036</v>
      </c>
      <c r="E84" s="6" t="inlineStr">
        <is>
          <t>Obuka</t>
        </is>
      </c>
      <c r="F84" s="6" t="inlineStr">
        <is>
          <t>PK Taš011</t>
        </is>
      </c>
      <c r="G84" s="8" t="n">
        <v>7000</v>
      </c>
      <c r="H84" s="9" t="inlineStr">
        <is>
          <t>DA</t>
        </is>
      </c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 t="inlineStr"/>
      <c r="T84" s="10" t="inlineStr"/>
      <c r="U84" s="10">
        <f>SUM(I84:T84)</f>
        <v/>
      </c>
      <c r="V84" s="10">
        <f>COUNTIF(I84:T84,"&gt;0")</f>
        <v/>
      </c>
      <c r="W84" s="10">
        <f>COUNT(I84:T84)</f>
        <v/>
      </c>
    </row>
    <row r="85">
      <c r="A85" s="6" t="n">
        <v>84</v>
      </c>
      <c r="B85" s="6" t="inlineStr">
        <is>
          <t>Stefan</t>
        </is>
      </c>
      <c r="C85" s="6" t="inlineStr">
        <is>
          <t>Petrović</t>
        </is>
      </c>
      <c r="D85" s="12" t="n">
        <v>43476</v>
      </c>
      <c r="E85" s="6" t="inlineStr">
        <is>
          <t>Obuka</t>
        </is>
      </c>
      <c r="F85" s="6" t="inlineStr">
        <is>
          <t>PK Taš011</t>
        </is>
      </c>
      <c r="G85" s="8" t="n">
        <v>7000</v>
      </c>
      <c r="H85" s="9" t="inlineStr">
        <is>
          <t>DA</t>
        </is>
      </c>
      <c r="I85" s="10" t="inlineStr"/>
      <c r="J85" s="10" t="inlineStr"/>
      <c r="K85" s="10" t="inlineStr"/>
      <c r="L85" s="10" t="inlineStr"/>
      <c r="M85" s="10" t="inlineStr"/>
      <c r="N85" s="10" t="inlineStr"/>
      <c r="O85" s="10" t="inlineStr"/>
      <c r="P85" s="10" t="inlineStr"/>
      <c r="Q85" s="10" t="inlineStr"/>
      <c r="R85" s="10" t="inlineStr"/>
      <c r="S85" s="10" t="inlineStr"/>
      <c r="T85" s="10" t="inlineStr"/>
      <c r="U85" s="10">
        <f>SUM(I85:T85)</f>
        <v/>
      </c>
      <c r="V85" s="10">
        <f>COUNTIF(I85:T85,"&gt;0")</f>
        <v/>
      </c>
      <c r="W85" s="10">
        <f>COUNT(I85:T85)</f>
        <v/>
      </c>
    </row>
    <row r="86">
      <c r="A86" s="6" t="n">
        <v>85</v>
      </c>
      <c r="B86" s="6" t="inlineStr">
        <is>
          <t>Boris</t>
        </is>
      </c>
      <c r="C86" s="6" t="inlineStr">
        <is>
          <t>Mladenović</t>
        </is>
      </c>
      <c r="D86" s="12" t="n">
        <v>42729</v>
      </c>
      <c r="E86" s="6" t="inlineStr">
        <is>
          <t>Obuka</t>
        </is>
      </c>
      <c r="F86" s="6" t="inlineStr">
        <is>
          <t>PK Taš011</t>
        </is>
      </c>
      <c r="G86" s="8" t="n">
        <v>7000</v>
      </c>
      <c r="H86" s="9" t="inlineStr">
        <is>
          <t>DA</t>
        </is>
      </c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>
        <f>SUM(I86:T86)</f>
        <v/>
      </c>
      <c r="V86" s="10">
        <f>COUNTIF(I86:T86,"&gt;0")</f>
        <v/>
      </c>
      <c r="W86" s="10">
        <f>COUNT(I86:T86)</f>
        <v/>
      </c>
    </row>
    <row r="87">
      <c r="A87" s="6" t="n">
        <v>86</v>
      </c>
      <c r="B87" s="6" t="inlineStr">
        <is>
          <t>Andrej</t>
        </is>
      </c>
      <c r="C87" s="6" t="inlineStr">
        <is>
          <t>Stefanović</t>
        </is>
      </c>
      <c r="D87" s="12" t="n">
        <v>42192</v>
      </c>
      <c r="E87" s="6" t="inlineStr">
        <is>
          <t>Obuka</t>
        </is>
      </c>
      <c r="F87" s="6" t="inlineStr">
        <is>
          <t>PK Taš011</t>
        </is>
      </c>
      <c r="G87" s="8" t="n">
        <v>7000</v>
      </c>
      <c r="H87" s="9" t="inlineStr">
        <is>
          <t>DA</t>
        </is>
      </c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 t="inlineStr"/>
      <c r="T87" s="10" t="inlineStr"/>
      <c r="U87" s="10">
        <f>SUM(I87:T87)</f>
        <v/>
      </c>
      <c r="V87" s="10">
        <f>COUNTIF(I87:T87,"&gt;0")</f>
        <v/>
      </c>
      <c r="W87" s="10">
        <f>COUNT(I87:T87)</f>
        <v/>
      </c>
    </row>
    <row r="88">
      <c r="A88" s="6" t="n">
        <v>87</v>
      </c>
      <c r="B88" s="6" t="inlineStr">
        <is>
          <t>Dunja</t>
        </is>
      </c>
      <c r="C88" s="6" t="inlineStr">
        <is>
          <t>Manić</t>
        </is>
      </c>
      <c r="D88" s="13" t="n">
        <v>41640</v>
      </c>
      <c r="E88" s="6" t="inlineStr">
        <is>
          <t>Mlađi Takmičari</t>
        </is>
      </c>
      <c r="F88" s="6" t="inlineStr">
        <is>
          <t>PK Taš011</t>
        </is>
      </c>
      <c r="G88" s="8" t="n">
        <v>5000</v>
      </c>
      <c r="H88" s="9" t="inlineStr">
        <is>
          <t>DA</t>
        </is>
      </c>
      <c r="I88" s="11" t="n">
        <v>6500</v>
      </c>
      <c r="J88" s="11" t="n">
        <v>6500</v>
      </c>
      <c r="K88" s="14" t="n">
        <v>0</v>
      </c>
      <c r="L88" s="11" t="n">
        <v>6500</v>
      </c>
      <c r="M88" s="14" t="n">
        <v>0</v>
      </c>
      <c r="N88" s="11" t="n">
        <v>6500</v>
      </c>
      <c r="O88" s="11" t="n">
        <v>6500</v>
      </c>
      <c r="P88" s="11" t="n">
        <v>7500</v>
      </c>
      <c r="Q88" s="11" t="n">
        <v>7500</v>
      </c>
      <c r="R88" s="14" t="n">
        <v>0</v>
      </c>
      <c r="S88" s="14" t="n">
        <v>0</v>
      </c>
      <c r="T88" s="14" t="n">
        <v>0</v>
      </c>
      <c r="U88" s="10">
        <f>SUM(I88:T88)</f>
        <v/>
      </c>
      <c r="V88" s="10">
        <f>COUNTIF(I88:T88,"&gt;0")</f>
        <v/>
      </c>
      <c r="W88" s="10">
        <f>COUNT(I88:T88)</f>
        <v/>
      </c>
    </row>
    <row r="89">
      <c r="A89" s="6" t="n">
        <v>88</v>
      </c>
      <c r="B89" s="6" t="inlineStr">
        <is>
          <t>Mark</t>
        </is>
      </c>
      <c r="C89" s="6" t="inlineStr">
        <is>
          <t>Kokorev</t>
        </is>
      </c>
      <c r="D89" s="13" t="n">
        <v>40909</v>
      </c>
      <c r="E89" s="6" t="inlineStr">
        <is>
          <t>Mlađi Takmičari</t>
        </is>
      </c>
      <c r="F89" s="6" t="inlineStr">
        <is>
          <t>PK Taš011</t>
        </is>
      </c>
      <c r="G89" s="8" t="n">
        <v>7500</v>
      </c>
      <c r="H89" s="9" t="inlineStr">
        <is>
          <t>DA</t>
        </is>
      </c>
      <c r="I89" s="11" t="n">
        <v>6000</v>
      </c>
      <c r="J89" s="11" t="n">
        <v>6500</v>
      </c>
      <c r="K89" s="11" t="n">
        <v>6500</v>
      </c>
      <c r="L89" s="11" t="n">
        <v>6500</v>
      </c>
      <c r="M89" s="11" t="n">
        <v>6500</v>
      </c>
      <c r="N89" s="11" t="n">
        <v>6500</v>
      </c>
      <c r="O89" s="11" t="n">
        <v>6500</v>
      </c>
      <c r="P89" s="11" t="n">
        <v>6500</v>
      </c>
      <c r="Q89" s="14" t="n">
        <v>0</v>
      </c>
      <c r="R89" s="14" t="n">
        <v>0</v>
      </c>
      <c r="S89" s="11" t="n">
        <v>13000</v>
      </c>
      <c r="T89" s="11" t="n">
        <v>7500</v>
      </c>
      <c r="U89" s="10">
        <f>SUM(I89:T89)</f>
        <v/>
      </c>
      <c r="V89" s="10">
        <f>COUNTIF(I89:T89,"&gt;0")</f>
        <v/>
      </c>
      <c r="W89" s="10">
        <f>COUNT(I89:T89)</f>
        <v/>
      </c>
    </row>
    <row r="90">
      <c r="A90" s="6" t="n">
        <v>89</v>
      </c>
      <c r="B90" s="6" t="inlineStr">
        <is>
          <t>Markovic</t>
        </is>
      </c>
      <c r="C90" s="6" t="inlineStr">
        <is>
          <t>Kalina</t>
        </is>
      </c>
      <c r="D90" s="12" t="n">
        <v>43076</v>
      </c>
      <c r="E90" s="6" t="inlineStr">
        <is>
          <t>Mlađi Takmičari</t>
        </is>
      </c>
      <c r="F90" s="6" t="inlineStr">
        <is>
          <t>PK Taš011</t>
        </is>
      </c>
      <c r="G90" s="8" t="n">
        <v>7500</v>
      </c>
      <c r="H90" s="9" t="inlineStr">
        <is>
          <t>DA</t>
        </is>
      </c>
      <c r="I90" s="11" t="n">
        <v>6500</v>
      </c>
      <c r="J90" s="11" t="n">
        <v>6500</v>
      </c>
      <c r="K90" s="11" t="n">
        <v>6500</v>
      </c>
      <c r="L90" s="11" t="n">
        <v>6500</v>
      </c>
      <c r="M90" s="11" t="n">
        <v>6500</v>
      </c>
      <c r="N90" s="11" t="n">
        <v>6500</v>
      </c>
      <c r="O90" s="11" t="n">
        <v>6500</v>
      </c>
      <c r="P90" s="11" t="n">
        <v>6500</v>
      </c>
      <c r="Q90" s="11" t="n">
        <v>6500</v>
      </c>
      <c r="R90" s="11" t="n">
        <v>6500</v>
      </c>
      <c r="S90" s="11" t="n">
        <v>6500</v>
      </c>
      <c r="T90" s="11" t="n">
        <v>7500</v>
      </c>
      <c r="U90" s="10">
        <f>SUM(I90:T90)</f>
        <v/>
      </c>
      <c r="V90" s="10">
        <f>COUNTIF(I90:T90,"&gt;0")</f>
        <v/>
      </c>
      <c r="W90" s="10">
        <f>COUNT(I90:T90)</f>
        <v/>
      </c>
    </row>
    <row r="91">
      <c r="A91" s="6" t="n">
        <v>90</v>
      </c>
      <c r="B91" s="6" t="inlineStr">
        <is>
          <t>Mišić</t>
        </is>
      </c>
      <c r="C91" s="6" t="inlineStr">
        <is>
          <t>Janko</t>
        </is>
      </c>
      <c r="D91" s="12" t="n">
        <v>40689</v>
      </c>
      <c r="E91" s="6" t="inlineStr">
        <is>
          <t>Mlađi Takmičari</t>
        </is>
      </c>
      <c r="F91" s="6" t="inlineStr">
        <is>
          <t>PK Taš011</t>
        </is>
      </c>
      <c r="G91" s="8" t="n">
        <v>7500</v>
      </c>
      <c r="H91" s="9" t="inlineStr">
        <is>
          <t>DA</t>
        </is>
      </c>
      <c r="I91" s="11" t="n">
        <v>6500</v>
      </c>
      <c r="J91" s="11" t="n">
        <v>6500</v>
      </c>
      <c r="K91" s="11" t="n">
        <v>6500</v>
      </c>
      <c r="L91" s="11" t="n">
        <v>6500</v>
      </c>
      <c r="M91" s="11" t="n">
        <v>6500</v>
      </c>
      <c r="N91" s="11" t="n">
        <v>6500</v>
      </c>
      <c r="O91" s="11" t="n">
        <v>6500</v>
      </c>
      <c r="P91" s="11" t="n">
        <v>6500</v>
      </c>
      <c r="Q91" s="14" t="n">
        <v>0</v>
      </c>
      <c r="R91" s="14" t="n">
        <v>0</v>
      </c>
      <c r="S91" s="14" t="n">
        <v>0</v>
      </c>
      <c r="T91" s="14" t="n">
        <v>0</v>
      </c>
      <c r="U91" s="10">
        <f>SUM(I91:T91)</f>
        <v/>
      </c>
      <c r="V91" s="10">
        <f>COUNTIF(I91:T91,"&gt;0")</f>
        <v/>
      </c>
      <c r="W91" s="10">
        <f>COUNT(I91:T91)</f>
        <v/>
      </c>
    </row>
    <row r="92">
      <c r="A92" s="6" t="n">
        <v>91</v>
      </c>
      <c r="B92" s="6" t="inlineStr">
        <is>
          <t>Jovanović</t>
        </is>
      </c>
      <c r="C92" s="6" t="inlineStr">
        <is>
          <t>Ema</t>
        </is>
      </c>
      <c r="D92" s="12" t="n">
        <v>41647</v>
      </c>
      <c r="E92" s="6" t="inlineStr">
        <is>
          <t>Mlađi Takmičari</t>
        </is>
      </c>
      <c r="F92" s="6" t="inlineStr">
        <is>
          <t>PK Taš011</t>
        </is>
      </c>
      <c r="G92" s="8" t="n">
        <v>7500</v>
      </c>
      <c r="H92" s="9" t="inlineStr">
        <is>
          <t>DA</t>
        </is>
      </c>
      <c r="I92" s="11" t="n">
        <v>6500</v>
      </c>
      <c r="J92" s="11" t="n">
        <v>6500</v>
      </c>
      <c r="K92" s="11" t="n">
        <v>6500</v>
      </c>
      <c r="L92" s="11" t="n">
        <v>6500</v>
      </c>
      <c r="M92" s="11" t="n">
        <v>6500</v>
      </c>
      <c r="N92" s="11" t="n">
        <v>6500</v>
      </c>
      <c r="O92" s="11" t="n">
        <v>3250</v>
      </c>
      <c r="P92" s="11" t="n">
        <v>6500</v>
      </c>
      <c r="Q92" s="11" t="n">
        <v>6500</v>
      </c>
      <c r="R92" s="14" t="n">
        <v>0</v>
      </c>
      <c r="S92" s="14" t="n">
        <v>0</v>
      </c>
      <c r="T92" s="11" t="n">
        <v>7500</v>
      </c>
      <c r="U92" s="10">
        <f>SUM(I92:T92)</f>
        <v/>
      </c>
      <c r="V92" s="10">
        <f>COUNTIF(I92:T92,"&gt;0")</f>
        <v/>
      </c>
      <c r="W92" s="10">
        <f>COUNT(I92:T92)</f>
        <v/>
      </c>
    </row>
    <row r="93">
      <c r="A93" s="6" t="n">
        <v>92</v>
      </c>
      <c r="B93" s="6" t="inlineStr">
        <is>
          <t>Milica</t>
        </is>
      </c>
      <c r="C93" s="6" t="inlineStr">
        <is>
          <t>Ristić</t>
        </is>
      </c>
      <c r="D93" s="12" t="n">
        <v>42329</v>
      </c>
      <c r="E93" s="6" t="inlineStr">
        <is>
          <t>Mlađi Takmičari</t>
        </is>
      </c>
      <c r="F93" s="6" t="inlineStr">
        <is>
          <t>PK Taš011</t>
        </is>
      </c>
      <c r="G93" s="8" t="n">
        <v>7500</v>
      </c>
      <c r="H93" s="9" t="inlineStr">
        <is>
          <t>DA</t>
        </is>
      </c>
      <c r="I93" s="10" t="inlineStr"/>
      <c r="J93" s="10" t="inlineStr"/>
      <c r="K93" s="10" t="inlineStr"/>
      <c r="L93" s="10" t="inlineStr"/>
      <c r="M93" s="10" t="inlineStr"/>
      <c r="N93" s="10" t="inlineStr"/>
      <c r="O93" s="11" t="n">
        <v>6500</v>
      </c>
      <c r="P93" s="11" t="n">
        <v>6500</v>
      </c>
      <c r="Q93" s="11" t="n">
        <v>6500</v>
      </c>
      <c r="R93" s="11" t="n">
        <v>6500</v>
      </c>
      <c r="S93" s="14" t="n">
        <v>0</v>
      </c>
      <c r="T93" s="11" t="n">
        <v>7500</v>
      </c>
      <c r="U93" s="10">
        <f>SUM(I93:T93)</f>
        <v/>
      </c>
      <c r="V93" s="10">
        <f>COUNTIF(I93:T93,"&gt;0")</f>
        <v/>
      </c>
      <c r="W93" s="10">
        <f>COUNT(I93:T93)</f>
        <v/>
      </c>
    </row>
    <row r="94">
      <c r="A94" s="6" t="n">
        <v>93</v>
      </c>
      <c r="B94" s="6" t="inlineStr">
        <is>
          <t>Vuk</t>
        </is>
      </c>
      <c r="C94" s="6" t="inlineStr">
        <is>
          <t>Djokic</t>
        </is>
      </c>
      <c r="D94" s="12" t="n">
        <v>41110</v>
      </c>
      <c r="E94" s="6" t="inlineStr">
        <is>
          <t>Mlađi Takmičari</t>
        </is>
      </c>
      <c r="F94" s="6" t="inlineStr">
        <is>
          <t>PK Taš011</t>
        </is>
      </c>
      <c r="G94" s="8" t="n">
        <v>7500</v>
      </c>
      <c r="H94" s="9" t="inlineStr">
        <is>
          <t>DA</t>
        </is>
      </c>
      <c r="I94" s="11" t="n">
        <v>6500</v>
      </c>
      <c r="J94" s="11" t="n">
        <v>6500</v>
      </c>
      <c r="K94" s="14" t="n">
        <v>0</v>
      </c>
      <c r="L94" s="14" t="n">
        <v>0</v>
      </c>
      <c r="M94" s="11" t="n">
        <v>6500</v>
      </c>
      <c r="N94" s="11" t="n">
        <v>6500</v>
      </c>
      <c r="O94" s="11" t="n">
        <v>6500</v>
      </c>
      <c r="P94" s="11" t="n">
        <v>6500</v>
      </c>
      <c r="Q94" s="11" t="n">
        <v>6500</v>
      </c>
      <c r="R94" s="14" t="n">
        <v>0</v>
      </c>
      <c r="S94" s="11" t="n">
        <v>6500</v>
      </c>
      <c r="T94" s="11" t="n">
        <v>7500</v>
      </c>
      <c r="U94" s="10">
        <f>SUM(I94:T94)</f>
        <v/>
      </c>
      <c r="V94" s="10">
        <f>COUNTIF(I94:T94,"&gt;0")</f>
        <v/>
      </c>
      <c r="W94" s="10">
        <f>COUNT(I94:T94)</f>
        <v/>
      </c>
    </row>
    <row r="95">
      <c r="A95" s="6" t="n">
        <v>94</v>
      </c>
      <c r="B95" s="6" t="inlineStr">
        <is>
          <t>Djordje</t>
        </is>
      </c>
      <c r="C95" s="6" t="inlineStr">
        <is>
          <t>Kozurik</t>
        </is>
      </c>
      <c r="D95" s="12" t="n">
        <v>42060</v>
      </c>
      <c r="E95" s="6" t="inlineStr">
        <is>
          <t>Mlađi Takmičari</t>
        </is>
      </c>
      <c r="F95" s="6" t="inlineStr">
        <is>
          <t>PK Taš011</t>
        </is>
      </c>
      <c r="G95" s="8" t="n">
        <v>7500</v>
      </c>
      <c r="H95" s="9" t="inlineStr">
        <is>
          <t>DA</t>
        </is>
      </c>
      <c r="I95" s="14" t="n">
        <v>0</v>
      </c>
      <c r="J95" s="11" t="n">
        <v>3000</v>
      </c>
      <c r="K95" s="14" t="n">
        <v>0</v>
      </c>
      <c r="L95" s="14" t="n">
        <v>0</v>
      </c>
      <c r="M95" s="11" t="n">
        <v>6500</v>
      </c>
      <c r="N95" s="11" t="n">
        <v>6500</v>
      </c>
      <c r="O95" s="14" t="n">
        <v>0</v>
      </c>
      <c r="P95" s="11" t="n">
        <v>6500</v>
      </c>
      <c r="Q95" s="14" t="n">
        <v>0</v>
      </c>
      <c r="R95" s="14" t="n">
        <v>0</v>
      </c>
      <c r="S95" s="14" t="n">
        <v>0</v>
      </c>
      <c r="T95" s="14" t="n">
        <v>0</v>
      </c>
      <c r="U95" s="10">
        <f>SUM(I95:T95)</f>
        <v/>
      </c>
      <c r="V95" s="10">
        <f>COUNTIF(I95:T95,"&gt;0")</f>
        <v/>
      </c>
      <c r="W95" s="10">
        <f>COUNT(I95:T95)</f>
        <v/>
      </c>
    </row>
    <row r="96">
      <c r="A96" s="6" t="n">
        <v>95</v>
      </c>
      <c r="B96" s="6" t="inlineStr">
        <is>
          <t>Relja</t>
        </is>
      </c>
      <c r="C96" s="6" t="inlineStr">
        <is>
          <t>Vulović</t>
        </is>
      </c>
      <c r="D96" s="13" t="n">
        <v>41640</v>
      </c>
      <c r="E96" s="6" t="inlineStr">
        <is>
          <t>Mlađi Takmičari</t>
        </is>
      </c>
      <c r="F96" s="6" t="inlineStr">
        <is>
          <t>PK Taš011</t>
        </is>
      </c>
      <c r="G96" s="8" t="n">
        <v>7500</v>
      </c>
      <c r="H96" s="9" t="inlineStr">
        <is>
          <t>DA</t>
        </is>
      </c>
      <c r="I96" s="10" t="inlineStr"/>
      <c r="J96" s="10" t="inlineStr"/>
      <c r="K96" s="10" t="inlineStr"/>
      <c r="L96" s="11" t="n">
        <v>6000</v>
      </c>
      <c r="M96" s="11" t="n">
        <v>3000</v>
      </c>
      <c r="N96" s="11" t="n">
        <v>3000</v>
      </c>
      <c r="O96" s="11" t="n">
        <v>6000</v>
      </c>
      <c r="P96" s="11" t="n">
        <v>6500</v>
      </c>
      <c r="Q96" s="11" t="n">
        <v>6500</v>
      </c>
      <c r="R96" s="14" t="n">
        <v>0</v>
      </c>
      <c r="S96" s="14" t="n">
        <v>0</v>
      </c>
      <c r="T96" s="11" t="n">
        <v>7500</v>
      </c>
      <c r="U96" s="10">
        <f>SUM(I96:T96)</f>
        <v/>
      </c>
      <c r="V96" s="10">
        <f>COUNTIF(I96:T96,"&gt;0")</f>
        <v/>
      </c>
      <c r="W96" s="10">
        <f>COUNT(I96:T96)</f>
        <v/>
      </c>
    </row>
    <row r="97">
      <c r="A97" s="6" t="n">
        <v>96</v>
      </c>
      <c r="B97" s="6" t="inlineStr">
        <is>
          <t>Vuk</t>
        </is>
      </c>
      <c r="C97" s="6" t="inlineStr">
        <is>
          <t>Brajovic</t>
        </is>
      </c>
      <c r="D97" s="12" t="n">
        <v>41222</v>
      </c>
      <c r="E97" s="6" t="inlineStr">
        <is>
          <t>Mlađi Takmičari</t>
        </is>
      </c>
      <c r="F97" s="6" t="inlineStr">
        <is>
          <t>PK Taš011</t>
        </is>
      </c>
      <c r="G97" s="8" t="n">
        <v>7500</v>
      </c>
      <c r="H97" s="9" t="inlineStr">
        <is>
          <t>DA</t>
        </is>
      </c>
      <c r="I97" s="11" t="n">
        <v>6500</v>
      </c>
      <c r="J97" s="11" t="n">
        <v>6500</v>
      </c>
      <c r="K97" s="11" t="n">
        <v>6500</v>
      </c>
      <c r="L97" s="14" t="n">
        <v>0</v>
      </c>
      <c r="M97" s="11" t="n">
        <v>6500</v>
      </c>
      <c r="N97" s="11" t="n">
        <v>6500</v>
      </c>
      <c r="O97" s="14" t="n">
        <v>0</v>
      </c>
      <c r="P97" s="11" t="n">
        <v>6500</v>
      </c>
      <c r="Q97" s="11" t="n">
        <v>6500</v>
      </c>
      <c r="R97" s="11" t="n">
        <v>6500</v>
      </c>
      <c r="S97" s="14" t="n">
        <v>0</v>
      </c>
      <c r="T97" s="14" t="n">
        <v>0</v>
      </c>
      <c r="U97" s="10">
        <f>SUM(I97:T97)</f>
        <v/>
      </c>
      <c r="V97" s="10">
        <f>COUNTIF(I97:T97,"&gt;0")</f>
        <v/>
      </c>
      <c r="W97" s="10">
        <f>COUNT(I97:T97)</f>
        <v/>
      </c>
    </row>
    <row r="98">
      <c r="A98" s="6" t="n">
        <v>97</v>
      </c>
      <c r="B98" s="6" t="inlineStr">
        <is>
          <t>Katarina</t>
        </is>
      </c>
      <c r="C98" s="6" t="inlineStr">
        <is>
          <t>Bjelovic</t>
        </is>
      </c>
      <c r="D98" s="13" t="n">
        <v>41275</v>
      </c>
      <c r="E98" s="6" t="inlineStr">
        <is>
          <t>Mlađi Takmičari</t>
        </is>
      </c>
      <c r="F98" s="6" t="inlineStr">
        <is>
          <t>PK Taš011</t>
        </is>
      </c>
      <c r="G98" s="16" t="n">
        <v>0</v>
      </c>
      <c r="H98" s="9" t="inlineStr">
        <is>
          <t>NE</t>
        </is>
      </c>
      <c r="I98" s="14" t="n">
        <v>0</v>
      </c>
      <c r="J98" s="11" t="n">
        <v>6500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n">
        <v>0</v>
      </c>
      <c r="P98" s="14" t="n">
        <v>0</v>
      </c>
      <c r="Q98" s="14" t="n">
        <v>0</v>
      </c>
      <c r="R98" s="14" t="n">
        <v>0</v>
      </c>
      <c r="S98" s="14" t="n">
        <v>0</v>
      </c>
      <c r="T98" s="14" t="n">
        <v>0</v>
      </c>
      <c r="U98" s="10">
        <f>SUM(I98:T98)</f>
        <v/>
      </c>
      <c r="V98" s="10">
        <f>COUNTIF(I98:T98,"&gt;0")</f>
        <v/>
      </c>
      <c r="W98" s="10">
        <f>COUNT(I98:T98)</f>
        <v/>
      </c>
    </row>
    <row r="99">
      <c r="A99" s="6" t="n">
        <v>98</v>
      </c>
      <c r="B99" s="6" t="inlineStr">
        <is>
          <t>Valentina</t>
        </is>
      </c>
      <c r="C99" s="6" t="inlineStr">
        <is>
          <t>Lacmanović</t>
        </is>
      </c>
      <c r="D99" s="12" t="n">
        <v>39678</v>
      </c>
      <c r="E99" s="6" t="inlineStr">
        <is>
          <t>Mlađi Takmičari</t>
        </is>
      </c>
      <c r="F99" s="6" t="inlineStr">
        <is>
          <t>PK Taš011</t>
        </is>
      </c>
      <c r="G99" s="8" t="n">
        <v>7500</v>
      </c>
      <c r="H99" s="9" t="inlineStr">
        <is>
          <t>DA</t>
        </is>
      </c>
      <c r="I99" s="10" t="inlineStr"/>
      <c r="J99" s="10" t="inlineStr"/>
      <c r="K99" s="10" t="inlineStr"/>
      <c r="L99" s="10" t="inlineStr"/>
      <c r="M99" s="11" t="n">
        <v>6500</v>
      </c>
      <c r="N99" s="11" t="n">
        <v>6500</v>
      </c>
      <c r="O99" s="11" t="n">
        <v>6500</v>
      </c>
      <c r="P99" s="11" t="n">
        <v>6500</v>
      </c>
      <c r="Q99" s="11" t="n">
        <v>6500</v>
      </c>
      <c r="R99" s="14" t="n">
        <v>0</v>
      </c>
      <c r="S99" s="11" t="n">
        <v>6500</v>
      </c>
      <c r="T99" s="14" t="n">
        <v>0</v>
      </c>
      <c r="U99" s="10">
        <f>SUM(I99:T99)</f>
        <v/>
      </c>
      <c r="V99" s="10">
        <f>COUNTIF(I99:T99,"&gt;0")</f>
        <v/>
      </c>
      <c r="W99" s="10">
        <f>COUNT(I99:T99)</f>
        <v/>
      </c>
    </row>
    <row r="100">
      <c r="A100" s="6" t="n">
        <v>99</v>
      </c>
      <c r="B100" s="6" t="inlineStr">
        <is>
          <t>Nadja</t>
        </is>
      </c>
      <c r="C100" s="6" t="inlineStr">
        <is>
          <t>Smiljanic</t>
        </is>
      </c>
      <c r="D100" s="7" t="n">
        <v>1</v>
      </c>
      <c r="E100" s="6" t="inlineStr">
        <is>
          <t>Mlađi Takmičari</t>
        </is>
      </c>
      <c r="F100" s="6" t="inlineStr">
        <is>
          <t>PK Taš011</t>
        </is>
      </c>
      <c r="G100" s="8" t="n">
        <v>7500</v>
      </c>
      <c r="H100" s="9" t="inlineStr">
        <is>
          <t>DA</t>
        </is>
      </c>
      <c r="I100" s="11" t="n">
        <v>6500</v>
      </c>
      <c r="J100" s="11" t="n">
        <v>6500</v>
      </c>
      <c r="K100" s="11" t="n">
        <v>6500</v>
      </c>
      <c r="L100" s="11" t="n">
        <v>6500</v>
      </c>
      <c r="M100" s="11" t="n">
        <v>6500</v>
      </c>
      <c r="N100" s="11" t="n">
        <v>6500</v>
      </c>
      <c r="O100" s="11" t="n">
        <v>6500</v>
      </c>
      <c r="P100" s="11" t="n">
        <v>6500</v>
      </c>
      <c r="Q100" s="11" t="n">
        <v>6500</v>
      </c>
      <c r="R100" s="14" t="n">
        <v>0</v>
      </c>
      <c r="S100" s="14" t="n">
        <v>0</v>
      </c>
      <c r="T100" s="11" t="n">
        <v>7500</v>
      </c>
      <c r="U100" s="10">
        <f>SUM(I100:T100)</f>
        <v/>
      </c>
      <c r="V100" s="10">
        <f>COUNTIF(I100:T100,"&gt;0")</f>
        <v/>
      </c>
      <c r="W100" s="10">
        <f>COUNT(I100:T100)</f>
        <v/>
      </c>
    </row>
    <row r="101">
      <c r="A101" s="6" t="n">
        <v>100</v>
      </c>
      <c r="B101" s="6" t="inlineStr">
        <is>
          <t>Viktor</t>
        </is>
      </c>
      <c r="C101" s="6" t="inlineStr">
        <is>
          <t>Vucicevic</t>
        </is>
      </c>
      <c r="D101" s="12" t="n">
        <v>42590</v>
      </c>
      <c r="E101" s="6" t="inlineStr">
        <is>
          <t>Mlađi Takmičari</t>
        </is>
      </c>
      <c r="F101" s="6" t="inlineStr">
        <is>
          <t>PK Taš011</t>
        </is>
      </c>
      <c r="G101" s="8" t="n">
        <v>7500</v>
      </c>
      <c r="H101" s="9" t="inlineStr">
        <is>
          <t>DA</t>
        </is>
      </c>
      <c r="I101" s="11" t="n">
        <v>6500</v>
      </c>
      <c r="J101" s="11" t="n">
        <v>6500</v>
      </c>
      <c r="K101" s="11" t="n">
        <v>6500</v>
      </c>
      <c r="L101" s="11" t="n">
        <v>6500</v>
      </c>
      <c r="M101" s="11" t="n">
        <v>6500</v>
      </c>
      <c r="N101" s="11" t="n">
        <v>6500</v>
      </c>
      <c r="O101" s="11" t="n">
        <v>6500</v>
      </c>
      <c r="P101" s="11" t="n">
        <v>6500</v>
      </c>
      <c r="Q101" s="11" t="n">
        <v>6500</v>
      </c>
      <c r="R101" s="11" t="n">
        <v>6500</v>
      </c>
      <c r="S101" s="11" t="n">
        <v>3250</v>
      </c>
      <c r="T101" s="11" t="n">
        <v>7500</v>
      </c>
      <c r="U101" s="10">
        <f>SUM(I101:T101)</f>
        <v/>
      </c>
      <c r="V101" s="10">
        <f>COUNTIF(I101:T101,"&gt;0")</f>
        <v/>
      </c>
      <c r="W101" s="10">
        <f>COUNT(I101:T101)</f>
        <v/>
      </c>
    </row>
    <row r="102">
      <c r="A102" s="6" t="n">
        <v>101</v>
      </c>
      <c r="B102" s="6" t="inlineStr">
        <is>
          <t>Tatjana</t>
        </is>
      </c>
      <c r="C102" s="6" t="inlineStr">
        <is>
          <t>Petrović</t>
        </is>
      </c>
      <c r="D102" s="12" t="n">
        <v>39710</v>
      </c>
      <c r="E102" s="6" t="inlineStr">
        <is>
          <t>Mlađi Takmičari</t>
        </is>
      </c>
      <c r="F102" s="6" t="inlineStr">
        <is>
          <t>PK Taš011</t>
        </is>
      </c>
      <c r="G102" s="8" t="n">
        <v>7500</v>
      </c>
      <c r="H102" s="9" t="inlineStr">
        <is>
          <t>DA</t>
        </is>
      </c>
      <c r="I102" s="10" t="inlineStr"/>
      <c r="J102" s="10" t="inlineStr"/>
      <c r="K102" s="10" t="inlineStr"/>
      <c r="L102" s="10" t="inlineStr"/>
      <c r="M102" s="11" t="n">
        <v>19500</v>
      </c>
      <c r="N102" s="11" t="n">
        <v>6500</v>
      </c>
      <c r="O102" s="11" t="n">
        <v>6500</v>
      </c>
      <c r="P102" s="11" t="n">
        <v>6500</v>
      </c>
      <c r="Q102" s="11" t="n">
        <v>6500</v>
      </c>
      <c r="R102" s="11" t="n">
        <v>6500</v>
      </c>
      <c r="S102" s="11" t="n">
        <v>6500</v>
      </c>
      <c r="T102" s="14" t="n">
        <v>0</v>
      </c>
      <c r="U102" s="10">
        <f>SUM(I102:T102)</f>
        <v/>
      </c>
      <c r="V102" s="10">
        <f>COUNTIF(I102:T102,"&gt;0")</f>
        <v/>
      </c>
      <c r="W102" s="10">
        <f>COUNT(I102:T102)</f>
        <v/>
      </c>
    </row>
    <row r="103">
      <c r="A103" s="6" t="n">
        <v>102</v>
      </c>
      <c r="B103" s="6" t="inlineStr">
        <is>
          <t>Karla</t>
        </is>
      </c>
      <c r="C103" s="6" t="inlineStr">
        <is>
          <t>Zonjić</t>
        </is>
      </c>
      <c r="D103" s="13" t="n">
        <v>42736</v>
      </c>
      <c r="E103" s="6" t="inlineStr">
        <is>
          <t>Mlađi Takmičari</t>
        </is>
      </c>
      <c r="F103" s="6" t="inlineStr">
        <is>
          <t>PK Taš011</t>
        </is>
      </c>
      <c r="G103" s="8" t="n">
        <v>7500</v>
      </c>
      <c r="H103" s="9" t="inlineStr">
        <is>
          <t>DA</t>
        </is>
      </c>
      <c r="I103" s="10" t="inlineStr"/>
      <c r="J103" s="11" t="n">
        <v>6500</v>
      </c>
      <c r="K103" s="11" t="n">
        <v>6500</v>
      </c>
      <c r="L103" s="11" t="n">
        <v>6500</v>
      </c>
      <c r="M103" s="11" t="n">
        <v>6500</v>
      </c>
      <c r="N103" s="11" t="n">
        <v>6500</v>
      </c>
      <c r="O103" s="11" t="n">
        <v>6500</v>
      </c>
      <c r="P103" s="11" t="n">
        <v>6500</v>
      </c>
      <c r="Q103" s="11" t="n">
        <v>6500</v>
      </c>
      <c r="R103" s="11" t="n">
        <v>6500</v>
      </c>
      <c r="S103" s="14" t="n">
        <v>0</v>
      </c>
      <c r="T103" s="11" t="n">
        <v>10750</v>
      </c>
      <c r="U103" s="10">
        <f>SUM(I103:T103)</f>
        <v/>
      </c>
      <c r="V103" s="10">
        <f>COUNTIF(I103:T103,"&gt;0")</f>
        <v/>
      </c>
      <c r="W103" s="10">
        <f>COUNT(I103:T103)</f>
        <v/>
      </c>
    </row>
    <row r="104">
      <c r="A104" s="6" t="n">
        <v>103</v>
      </c>
      <c r="B104" s="6" t="inlineStr">
        <is>
          <t>Drina</t>
        </is>
      </c>
      <c r="C104" s="6" t="inlineStr">
        <is>
          <t>Vesić</t>
        </is>
      </c>
      <c r="D104" s="12" t="n">
        <v>42697</v>
      </c>
      <c r="E104" s="6" t="inlineStr">
        <is>
          <t>Mlađi Takmičari</t>
        </is>
      </c>
      <c r="F104" s="6" t="inlineStr">
        <is>
          <t>PK Taš011</t>
        </is>
      </c>
      <c r="G104" s="8" t="n">
        <v>3750</v>
      </c>
      <c r="H104" s="9" t="inlineStr">
        <is>
          <t>DA</t>
        </is>
      </c>
      <c r="I104" s="11" t="n">
        <v>3750</v>
      </c>
      <c r="J104" s="11" t="n">
        <v>3750</v>
      </c>
      <c r="K104" s="11" t="n">
        <v>3750</v>
      </c>
      <c r="L104" s="11" t="n">
        <v>3750</v>
      </c>
      <c r="M104" s="11" t="n">
        <v>3750</v>
      </c>
      <c r="N104" s="11" t="n">
        <v>3750</v>
      </c>
      <c r="O104" s="11" t="n">
        <v>3750</v>
      </c>
      <c r="P104" s="11" t="n">
        <v>3750</v>
      </c>
      <c r="Q104" s="11" t="n">
        <v>3250</v>
      </c>
      <c r="R104" s="14" t="n">
        <v>0</v>
      </c>
      <c r="S104" s="14" t="n">
        <v>0</v>
      </c>
      <c r="T104" s="11" t="n">
        <v>3750</v>
      </c>
      <c r="U104" s="10">
        <f>SUM(I104:T104)</f>
        <v/>
      </c>
      <c r="V104" s="10">
        <f>COUNTIF(I104:T104,"&gt;0")</f>
        <v/>
      </c>
      <c r="W104" s="10">
        <f>COUNT(I104:T104)</f>
        <v/>
      </c>
    </row>
    <row r="105">
      <c r="A105" s="6" t="n">
        <v>104</v>
      </c>
      <c r="B105" s="6" t="inlineStr">
        <is>
          <t>Aleksej</t>
        </is>
      </c>
      <c r="C105" s="6" t="inlineStr">
        <is>
          <t>Radanac</t>
        </is>
      </c>
      <c r="D105" s="13" t="n">
        <v>42736</v>
      </c>
      <c r="E105" s="6" t="inlineStr">
        <is>
          <t>Mlađi Takmičari</t>
        </is>
      </c>
      <c r="F105" s="6" t="inlineStr">
        <is>
          <t>PK Taš011</t>
        </is>
      </c>
      <c r="G105" s="8" t="n">
        <v>7500</v>
      </c>
      <c r="H105" s="9" t="inlineStr">
        <is>
          <t>DA</t>
        </is>
      </c>
      <c r="I105" s="10" t="inlineStr"/>
      <c r="J105" s="10" t="inlineStr"/>
      <c r="K105" s="10" t="inlineStr"/>
      <c r="L105" s="10" t="inlineStr"/>
      <c r="M105" s="10" t="inlineStr"/>
      <c r="N105" s="11" t="n">
        <v>6500</v>
      </c>
      <c r="O105" s="11" t="n">
        <v>6000</v>
      </c>
      <c r="P105" s="11" t="n">
        <v>6500</v>
      </c>
      <c r="Q105" s="11" t="n">
        <v>6500</v>
      </c>
      <c r="R105" s="11" t="n">
        <v>6500</v>
      </c>
      <c r="S105" s="11" t="n">
        <v>6500</v>
      </c>
      <c r="T105" s="11" t="n">
        <v>7500</v>
      </c>
      <c r="U105" s="10">
        <f>SUM(I105:T105)</f>
        <v/>
      </c>
      <c r="V105" s="10">
        <f>COUNTIF(I105:T105,"&gt;0")</f>
        <v/>
      </c>
      <c r="W105" s="10">
        <f>COUNT(I105:T105)</f>
        <v/>
      </c>
    </row>
    <row r="106">
      <c r="A106" s="6" t="n">
        <v>105</v>
      </c>
      <c r="B106" s="6" t="inlineStr">
        <is>
          <t>Nora</t>
        </is>
      </c>
      <c r="C106" s="6" t="inlineStr">
        <is>
          <t>Klarić</t>
        </is>
      </c>
      <c r="D106" s="13" t="n">
        <v>42005</v>
      </c>
      <c r="E106" s="6" t="inlineStr">
        <is>
          <t>Mlađi Takmičari</t>
        </is>
      </c>
      <c r="F106" s="6" t="inlineStr">
        <is>
          <t>PK Taš011</t>
        </is>
      </c>
      <c r="G106" s="8" t="n">
        <v>7500</v>
      </c>
      <c r="H106" s="9" t="inlineStr">
        <is>
          <t>DA</t>
        </is>
      </c>
      <c r="I106" s="11" t="n">
        <v>6000</v>
      </c>
      <c r="J106" s="11" t="n">
        <v>6000</v>
      </c>
      <c r="K106" s="11" t="n">
        <v>6000</v>
      </c>
      <c r="L106" s="11" t="n">
        <v>6000</v>
      </c>
      <c r="M106" s="11" t="n">
        <v>6500</v>
      </c>
      <c r="N106" s="11" t="n">
        <v>6500</v>
      </c>
      <c r="O106" s="11" t="n">
        <v>6500</v>
      </c>
      <c r="P106" s="11" t="n">
        <v>6500</v>
      </c>
      <c r="Q106" s="11" t="n">
        <v>6500</v>
      </c>
      <c r="R106" s="14" t="n">
        <v>0</v>
      </c>
      <c r="S106" s="14" t="n">
        <v>0</v>
      </c>
      <c r="T106" s="11" t="n">
        <v>7500</v>
      </c>
      <c r="U106" s="10">
        <f>SUM(I106:T106)</f>
        <v/>
      </c>
      <c r="V106" s="10">
        <f>COUNTIF(I106:T106,"&gt;0")</f>
        <v/>
      </c>
      <c r="W106" s="10">
        <f>COUNT(I106:T106)</f>
        <v/>
      </c>
    </row>
    <row r="107">
      <c r="A107" s="6" t="n">
        <v>106</v>
      </c>
      <c r="B107" s="6" t="inlineStr">
        <is>
          <t>Kalina</t>
        </is>
      </c>
      <c r="C107" s="6" t="inlineStr">
        <is>
          <t>Gardašević</t>
        </is>
      </c>
      <c r="D107" s="7" t="n">
        <v>1</v>
      </c>
      <c r="E107" s="6" t="inlineStr">
        <is>
          <t>Mlađi Takmičari</t>
        </is>
      </c>
      <c r="F107" s="6" t="inlineStr">
        <is>
          <t>PK Taš011</t>
        </is>
      </c>
      <c r="G107" s="8" t="n">
        <v>5000</v>
      </c>
      <c r="H107" s="9" t="inlineStr">
        <is>
          <t>DA</t>
        </is>
      </c>
      <c r="I107" s="10" t="inlineStr"/>
      <c r="J107" s="10" t="inlineStr"/>
      <c r="K107" s="10" t="inlineStr"/>
      <c r="L107" s="11" t="n">
        <v>2500</v>
      </c>
      <c r="M107" s="11" t="n">
        <v>6500</v>
      </c>
      <c r="N107" s="11" t="n">
        <v>5000</v>
      </c>
      <c r="O107" s="11" t="n">
        <v>5000</v>
      </c>
      <c r="P107" s="11" t="n">
        <v>5000</v>
      </c>
      <c r="Q107" s="11" t="n">
        <v>5000</v>
      </c>
      <c r="R107" s="14" t="n">
        <v>0</v>
      </c>
      <c r="S107" s="14" t="n">
        <v>0</v>
      </c>
      <c r="T107" s="11" t="n">
        <v>5000</v>
      </c>
      <c r="U107" s="10">
        <f>SUM(I107:T107)</f>
        <v/>
      </c>
      <c r="V107" s="10">
        <f>COUNTIF(I107:T107,"&gt;0")</f>
        <v/>
      </c>
      <c r="W107" s="10">
        <f>COUNT(I107:T107)</f>
        <v/>
      </c>
    </row>
    <row r="108">
      <c r="A108" s="6" t="n">
        <v>107</v>
      </c>
      <c r="B108" s="6" t="inlineStr">
        <is>
          <t>Sergej</t>
        </is>
      </c>
      <c r="C108" s="6" t="inlineStr">
        <is>
          <t>Sabo</t>
        </is>
      </c>
      <c r="D108" s="12" t="n">
        <v>42766</v>
      </c>
      <c r="E108" s="6" t="inlineStr">
        <is>
          <t>Mlađi Takmičari</t>
        </is>
      </c>
      <c r="F108" s="6" t="inlineStr">
        <is>
          <t>PK Taš011</t>
        </is>
      </c>
      <c r="G108" s="8" t="n">
        <v>7500</v>
      </c>
      <c r="H108" s="9" t="inlineStr">
        <is>
          <t>DA</t>
        </is>
      </c>
      <c r="I108" s="14" t="n">
        <v>0</v>
      </c>
      <c r="J108" s="11" t="n">
        <v>6000</v>
      </c>
      <c r="K108" s="14" t="n">
        <v>0</v>
      </c>
      <c r="L108" s="11" t="n">
        <v>6000</v>
      </c>
      <c r="M108" s="11" t="n">
        <v>6500</v>
      </c>
      <c r="N108" s="11" t="n">
        <v>6500</v>
      </c>
      <c r="O108" s="11" t="n">
        <v>6500</v>
      </c>
      <c r="P108" s="11" t="n">
        <v>6500</v>
      </c>
      <c r="Q108" s="11" t="n">
        <v>6500</v>
      </c>
      <c r="R108" s="14" t="n">
        <v>0</v>
      </c>
      <c r="S108" s="14" t="n">
        <v>0</v>
      </c>
      <c r="T108" s="11" t="n">
        <v>7500</v>
      </c>
      <c r="U108" s="10">
        <f>SUM(I108:T108)</f>
        <v/>
      </c>
      <c r="V108" s="10">
        <f>COUNTIF(I108:T108,"&gt;0")</f>
        <v/>
      </c>
      <c r="W108" s="10">
        <f>COUNT(I108:T108)</f>
        <v/>
      </c>
    </row>
    <row r="109">
      <c r="A109" s="6" t="n">
        <v>108</v>
      </c>
      <c r="B109" s="6" t="inlineStr">
        <is>
          <t>Aleksa</t>
        </is>
      </c>
      <c r="C109" s="6" t="inlineStr">
        <is>
          <t>Zdravković</t>
        </is>
      </c>
      <c r="D109" s="12" t="n">
        <v>41450</v>
      </c>
      <c r="E109" s="6" t="inlineStr">
        <is>
          <t>Mlađi Takmičari</t>
        </is>
      </c>
      <c r="F109" s="6" t="inlineStr">
        <is>
          <t>PK Taš011</t>
        </is>
      </c>
      <c r="G109" s="8" t="n">
        <v>7500</v>
      </c>
      <c r="H109" s="9" t="inlineStr">
        <is>
          <t>DA</t>
        </is>
      </c>
      <c r="I109" s="11" t="n">
        <v>6500</v>
      </c>
      <c r="J109" s="11" t="n">
        <v>6500</v>
      </c>
      <c r="K109" s="11" t="n">
        <v>6500</v>
      </c>
      <c r="L109" s="11" t="n">
        <v>6500</v>
      </c>
      <c r="M109" s="11" t="n">
        <v>6500</v>
      </c>
      <c r="N109" s="11" t="n">
        <v>6500</v>
      </c>
      <c r="O109" s="11" t="n">
        <v>6500</v>
      </c>
      <c r="P109" s="11" t="n">
        <v>6500</v>
      </c>
      <c r="Q109" s="11" t="n">
        <v>6500</v>
      </c>
      <c r="R109" s="14" t="n">
        <v>0</v>
      </c>
      <c r="S109" s="14" t="n">
        <v>0</v>
      </c>
      <c r="T109" s="11" t="n">
        <v>7500</v>
      </c>
      <c r="U109" s="10">
        <f>SUM(I109:T109)</f>
        <v/>
      </c>
      <c r="V109" s="10">
        <f>COUNTIF(I109:T109,"&gt;0")</f>
        <v/>
      </c>
      <c r="W109" s="10">
        <f>COUNT(I109:T109)</f>
        <v/>
      </c>
    </row>
    <row r="110">
      <c r="A110" s="6" t="n">
        <v>109</v>
      </c>
      <c r="B110" s="6" t="inlineStr">
        <is>
          <t>Lazar</t>
        </is>
      </c>
      <c r="C110" s="6" t="inlineStr">
        <is>
          <t>Nevenić</t>
        </is>
      </c>
      <c r="D110" s="12" t="n">
        <v>42155</v>
      </c>
      <c r="E110" s="6" t="inlineStr">
        <is>
          <t>Mlađi Takmičari</t>
        </is>
      </c>
      <c r="F110" s="6" t="inlineStr">
        <is>
          <t>PK Taš011</t>
        </is>
      </c>
      <c r="G110" s="8" t="n">
        <v>7500</v>
      </c>
      <c r="H110" s="9" t="inlineStr">
        <is>
          <t>DA</t>
        </is>
      </c>
      <c r="I110" s="11" t="n">
        <v>6500</v>
      </c>
      <c r="J110" s="11" t="n">
        <v>6500</v>
      </c>
      <c r="K110" s="14" t="n">
        <v>0</v>
      </c>
      <c r="L110" s="14" t="n">
        <v>0</v>
      </c>
      <c r="M110" s="11" t="n">
        <v>6500</v>
      </c>
      <c r="N110" s="11" t="n">
        <v>6500</v>
      </c>
      <c r="O110" s="11" t="n">
        <v>3250</v>
      </c>
      <c r="P110" s="11" t="n">
        <v>6500</v>
      </c>
      <c r="Q110" s="14" t="n">
        <v>0</v>
      </c>
      <c r="R110" s="14" t="n">
        <v>0</v>
      </c>
      <c r="S110" s="14" t="n">
        <v>0</v>
      </c>
      <c r="T110" s="10" t="inlineStr"/>
      <c r="U110" s="10">
        <f>SUM(I110:T110)</f>
        <v/>
      </c>
      <c r="V110" s="10">
        <f>COUNTIF(I110:T110,"&gt;0")</f>
        <v/>
      </c>
      <c r="W110" s="10">
        <f>COUNT(I110:T110)</f>
        <v/>
      </c>
    </row>
    <row r="111">
      <c r="A111" s="6" t="n">
        <v>110</v>
      </c>
      <c r="B111" s="6" t="inlineStr">
        <is>
          <t>Vladimir</t>
        </is>
      </c>
      <c r="C111" s="6" t="inlineStr">
        <is>
          <t>Nikolić</t>
        </is>
      </c>
      <c r="D111" s="12" t="n">
        <v>42556</v>
      </c>
      <c r="E111" s="6" t="inlineStr">
        <is>
          <t>Mlađi Takmičari</t>
        </is>
      </c>
      <c r="F111" s="6" t="inlineStr">
        <is>
          <t>PK Taš011</t>
        </is>
      </c>
      <c r="G111" s="8" t="n">
        <v>7500</v>
      </c>
      <c r="H111" s="9" t="inlineStr">
        <is>
          <t>DA</t>
        </is>
      </c>
      <c r="I111" s="11" t="n">
        <v>6000</v>
      </c>
      <c r="J111" s="11" t="n">
        <v>5000</v>
      </c>
      <c r="K111" s="11" t="n">
        <v>3000</v>
      </c>
      <c r="L111" s="11" t="n">
        <v>3000</v>
      </c>
      <c r="M111" s="11" t="n">
        <v>6000</v>
      </c>
      <c r="N111" s="11" t="n">
        <v>6000</v>
      </c>
      <c r="O111" s="11" t="n">
        <v>6000</v>
      </c>
      <c r="P111" s="11" t="n">
        <v>6000</v>
      </c>
      <c r="Q111" s="14" t="n">
        <v>0</v>
      </c>
      <c r="R111" s="14" t="n">
        <v>0</v>
      </c>
      <c r="S111" s="14" t="n">
        <v>0</v>
      </c>
      <c r="T111" s="11" t="n">
        <v>7500</v>
      </c>
      <c r="U111" s="10">
        <f>SUM(I111:T111)</f>
        <v/>
      </c>
      <c r="V111" s="10">
        <f>COUNTIF(I111:T111,"&gt;0")</f>
        <v/>
      </c>
      <c r="W111" s="10">
        <f>COUNT(I111:T111)</f>
        <v/>
      </c>
    </row>
    <row r="112">
      <c r="A112" s="6" t="n">
        <v>111</v>
      </c>
      <c r="B112" s="6" t="inlineStr">
        <is>
          <t>Angelina</t>
        </is>
      </c>
      <c r="C112" s="6" t="inlineStr">
        <is>
          <t>Tomašević</t>
        </is>
      </c>
      <c r="D112" s="13" t="n">
        <v>41275</v>
      </c>
      <c r="E112" s="6" t="inlineStr">
        <is>
          <t>Mlađi Takmičari</t>
        </is>
      </c>
      <c r="F112" s="6" t="inlineStr">
        <is>
          <t>PK Taš011</t>
        </is>
      </c>
      <c r="G112" s="8" t="n">
        <v>7500</v>
      </c>
      <c r="H112" s="9" t="inlineStr">
        <is>
          <t>DA</t>
        </is>
      </c>
      <c r="I112" s="10" t="inlineStr"/>
      <c r="J112" s="10" t="inlineStr"/>
      <c r="K112" s="10" t="inlineStr"/>
      <c r="L112" s="10" t="inlineStr"/>
      <c r="M112" s="10" t="inlineStr"/>
      <c r="N112" s="11" t="n">
        <v>6500</v>
      </c>
      <c r="O112" s="11" t="n">
        <v>6500</v>
      </c>
      <c r="P112" s="11" t="n">
        <v>3750</v>
      </c>
      <c r="Q112" s="14" t="n">
        <v>0</v>
      </c>
      <c r="R112" s="14" t="n">
        <v>0</v>
      </c>
      <c r="S112" s="14" t="n">
        <v>0</v>
      </c>
      <c r="T112" s="14" t="n">
        <v>0</v>
      </c>
      <c r="U112" s="10">
        <f>SUM(I112:T112)</f>
        <v/>
      </c>
      <c r="V112" s="10">
        <f>COUNTIF(I112:T112,"&gt;0")</f>
        <v/>
      </c>
      <c r="W112" s="10">
        <f>COUNT(I112:T112)</f>
        <v/>
      </c>
    </row>
    <row r="113">
      <c r="A113" s="6" t="n">
        <v>112</v>
      </c>
      <c r="B113" s="6" t="inlineStr">
        <is>
          <t>Drina</t>
        </is>
      </c>
      <c r="C113" s="6" t="inlineStr">
        <is>
          <t>Gordinić</t>
        </is>
      </c>
      <c r="D113" s="12" t="n">
        <v>41503</v>
      </c>
      <c r="E113" s="6" t="inlineStr">
        <is>
          <t>Mlađi Takmičari</t>
        </is>
      </c>
      <c r="F113" s="6" t="inlineStr">
        <is>
          <t>PK Taš011</t>
        </is>
      </c>
      <c r="G113" s="8" t="n">
        <v>7500</v>
      </c>
      <c r="H113" s="9" t="inlineStr">
        <is>
          <t>DA</t>
        </is>
      </c>
      <c r="I113" s="10" t="inlineStr"/>
      <c r="J113" s="10" t="inlineStr"/>
      <c r="K113" s="10" t="inlineStr"/>
      <c r="L113" s="10" t="inlineStr"/>
      <c r="M113" s="10" t="inlineStr"/>
      <c r="N113" s="10" t="inlineStr"/>
      <c r="O113" s="11" t="n">
        <v>6500</v>
      </c>
      <c r="P113" s="11" t="n">
        <v>6500</v>
      </c>
      <c r="Q113" s="11" t="n">
        <v>6500</v>
      </c>
      <c r="R113" s="14" t="n">
        <v>0</v>
      </c>
      <c r="S113" s="14" t="n">
        <v>0</v>
      </c>
      <c r="T113" s="11" t="n">
        <v>7500</v>
      </c>
      <c r="U113" s="10">
        <f>SUM(I113:T113)</f>
        <v/>
      </c>
      <c r="V113" s="10">
        <f>COUNTIF(I113:T113,"&gt;0")</f>
        <v/>
      </c>
      <c r="W113" s="10">
        <f>COUNT(I113:T113)</f>
        <v/>
      </c>
    </row>
    <row r="114">
      <c r="A114" s="6" t="n">
        <v>113</v>
      </c>
      <c r="B114" s="6" t="inlineStr">
        <is>
          <t>David</t>
        </is>
      </c>
      <c r="C114" s="6" t="inlineStr">
        <is>
          <t>Popovski</t>
        </is>
      </c>
      <c r="D114" s="13" t="n">
        <v>40909</v>
      </c>
      <c r="E114" s="6" t="inlineStr">
        <is>
          <t>Mlađi Takmičari</t>
        </is>
      </c>
      <c r="F114" s="6" t="inlineStr">
        <is>
          <t>PK Taš011</t>
        </is>
      </c>
      <c r="G114" s="8" t="n">
        <v>7500</v>
      </c>
      <c r="H114" s="9" t="inlineStr">
        <is>
          <t>DA</t>
        </is>
      </c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>
        <f>SUM(I114:T114)</f>
        <v/>
      </c>
      <c r="V114" s="10">
        <f>COUNTIF(I114:T114,"&gt;0")</f>
        <v/>
      </c>
      <c r="W114" s="10">
        <f>COUNT(I114:T114)</f>
        <v/>
      </c>
    </row>
    <row r="115">
      <c r="A115" s="6" t="n">
        <v>114</v>
      </c>
      <c r="B115" s="6" t="inlineStr">
        <is>
          <t>Katarina</t>
        </is>
      </c>
      <c r="C115" s="6" t="inlineStr">
        <is>
          <t>Janjatović</t>
        </is>
      </c>
      <c r="D115" s="13" t="n">
        <v>40179</v>
      </c>
      <c r="E115" s="6" t="inlineStr">
        <is>
          <t>Mlađi Takmičari</t>
        </is>
      </c>
      <c r="F115" s="6" t="inlineStr">
        <is>
          <t>PK Taš011</t>
        </is>
      </c>
      <c r="G115" s="8" t="n">
        <v>7500</v>
      </c>
      <c r="H115" s="9" t="inlineStr">
        <is>
          <t>DA</t>
        </is>
      </c>
      <c r="I115" s="10" t="inlineStr"/>
      <c r="J115" s="10" t="inlineStr"/>
      <c r="K115" s="10" t="inlineStr"/>
      <c r="L115" s="10" t="inlineStr"/>
      <c r="M115" s="10" t="inlineStr"/>
      <c r="N115" s="10" t="inlineStr"/>
      <c r="O115" s="11" t="n">
        <v>6500</v>
      </c>
      <c r="P115" s="11" t="n">
        <v>6500</v>
      </c>
      <c r="Q115" s="11" t="n">
        <v>6500</v>
      </c>
      <c r="R115" s="14" t="n">
        <v>0</v>
      </c>
      <c r="S115" s="14" t="n">
        <v>0</v>
      </c>
      <c r="T115" s="11" t="n">
        <v>7500</v>
      </c>
      <c r="U115" s="10">
        <f>SUM(I115:T115)</f>
        <v/>
      </c>
      <c r="V115" s="10">
        <f>COUNTIF(I115:T115,"&gt;0")</f>
        <v/>
      </c>
      <c r="W115" s="10">
        <f>COUNT(I115:T115)</f>
        <v/>
      </c>
    </row>
    <row r="116">
      <c r="A116" s="6" t="n">
        <v>115</v>
      </c>
      <c r="B116" s="6" t="inlineStr">
        <is>
          <t>Sara</t>
        </is>
      </c>
      <c r="C116" s="6" t="inlineStr">
        <is>
          <t>Šterijev</t>
        </is>
      </c>
      <c r="D116" s="12" t="n">
        <v>41485</v>
      </c>
      <c r="E116" s="6" t="inlineStr">
        <is>
          <t>Mlađi Takmičari</t>
        </is>
      </c>
      <c r="F116" s="6" t="inlineStr">
        <is>
          <t>PK Taš011</t>
        </is>
      </c>
      <c r="G116" s="8" t="n">
        <v>7500</v>
      </c>
      <c r="H116" s="9" t="inlineStr">
        <is>
          <t>DA</t>
        </is>
      </c>
      <c r="I116" s="11" t="n">
        <v>6000</v>
      </c>
      <c r="J116" s="11" t="n">
        <v>6000</v>
      </c>
      <c r="K116" s="11" t="n">
        <v>6000</v>
      </c>
      <c r="L116" s="11" t="n">
        <v>6000</v>
      </c>
      <c r="M116" s="11" t="n">
        <v>6000</v>
      </c>
      <c r="N116" s="11" t="n">
        <v>6000</v>
      </c>
      <c r="O116" s="11" t="n">
        <v>6000</v>
      </c>
      <c r="P116" s="11" t="n">
        <v>6500</v>
      </c>
      <c r="Q116" s="11" t="n">
        <v>6500</v>
      </c>
      <c r="R116" s="14" t="n">
        <v>0</v>
      </c>
      <c r="S116" s="14" t="n">
        <v>0</v>
      </c>
      <c r="T116" s="11" t="n">
        <v>7500</v>
      </c>
      <c r="U116" s="10">
        <f>SUM(I116:T116)</f>
        <v/>
      </c>
      <c r="V116" s="10">
        <f>COUNTIF(I116:T116,"&gt;0")</f>
        <v/>
      </c>
      <c r="W116" s="10">
        <f>COUNT(I116:T116)</f>
        <v/>
      </c>
    </row>
    <row r="117">
      <c r="A117" s="6" t="n">
        <v>116</v>
      </c>
      <c r="B117" s="6" t="inlineStr">
        <is>
          <t>Irina</t>
        </is>
      </c>
      <c r="C117" s="6" t="inlineStr">
        <is>
          <t>Perković</t>
        </is>
      </c>
      <c r="D117" s="12" t="n">
        <v>42345</v>
      </c>
      <c r="E117" s="6" t="inlineStr">
        <is>
          <t>Mlađi Takmičari</t>
        </is>
      </c>
      <c r="F117" s="6" t="inlineStr">
        <is>
          <t>PK Taš011</t>
        </is>
      </c>
      <c r="G117" s="8" t="n">
        <v>7500</v>
      </c>
      <c r="H117" s="9" t="inlineStr">
        <is>
          <t>DA</t>
        </is>
      </c>
      <c r="I117" s="10" t="inlineStr"/>
      <c r="J117" s="10" t="inlineStr"/>
      <c r="K117" s="10" t="inlineStr"/>
      <c r="L117" s="10" t="inlineStr"/>
      <c r="M117" s="11" t="n">
        <v>6000</v>
      </c>
      <c r="N117" s="11" t="n">
        <v>6000</v>
      </c>
      <c r="O117" s="11" t="n">
        <v>6500</v>
      </c>
      <c r="P117" s="11" t="n">
        <v>6500</v>
      </c>
      <c r="Q117" s="11" t="n">
        <v>6500</v>
      </c>
      <c r="R117" s="14" t="n">
        <v>0</v>
      </c>
      <c r="S117" s="14" t="n">
        <v>0</v>
      </c>
      <c r="T117" s="14" t="n">
        <v>0</v>
      </c>
      <c r="U117" s="10">
        <f>SUM(I117:T117)</f>
        <v/>
      </c>
      <c r="V117" s="10">
        <f>COUNTIF(I117:T117,"&gt;0")</f>
        <v/>
      </c>
      <c r="W117" s="10">
        <f>COUNT(I117:T117)</f>
        <v/>
      </c>
    </row>
    <row r="118">
      <c r="A118" s="6" t="n">
        <v>117</v>
      </c>
      <c r="B118" s="6" t="inlineStr">
        <is>
          <t>Luka</t>
        </is>
      </c>
      <c r="C118" s="6" t="inlineStr">
        <is>
          <t>Petrović</t>
        </is>
      </c>
      <c r="D118" s="7" t="n">
        <v>1</v>
      </c>
      <c r="E118" s="6" t="inlineStr">
        <is>
          <t>Mlađi Takmičari</t>
        </is>
      </c>
      <c r="F118" s="6" t="inlineStr">
        <is>
          <t>PK Taš011</t>
        </is>
      </c>
      <c r="G118" s="8" t="n">
        <v>7500</v>
      </c>
      <c r="H118" s="9" t="inlineStr">
        <is>
          <t>DA</t>
        </is>
      </c>
      <c r="I118" s="10" t="inlineStr"/>
      <c r="J118" s="10" t="inlineStr"/>
      <c r="K118" s="10" t="inlineStr"/>
      <c r="L118" s="10" t="inlineStr"/>
      <c r="M118" s="10" t="inlineStr"/>
      <c r="N118" s="10" t="inlineStr"/>
      <c r="O118" s="10" t="inlineStr"/>
      <c r="P118" s="10" t="inlineStr"/>
      <c r="Q118" s="11" t="n">
        <v>6500</v>
      </c>
      <c r="R118" s="14" t="n">
        <v>0</v>
      </c>
      <c r="S118" s="14" t="n">
        <v>0</v>
      </c>
      <c r="T118" s="14" t="n">
        <v>0</v>
      </c>
      <c r="U118" s="10">
        <f>SUM(I118:T118)</f>
        <v/>
      </c>
      <c r="V118" s="10">
        <f>COUNTIF(I118:T118,"&gt;0")</f>
        <v/>
      </c>
      <c r="W118" s="10">
        <f>COUNT(I118:T118)</f>
        <v/>
      </c>
    </row>
    <row r="119">
      <c r="A119" s="6" t="n">
        <v>118</v>
      </c>
      <c r="B119" s="6" t="inlineStr">
        <is>
          <t>Vuk</t>
        </is>
      </c>
      <c r="C119" s="6" t="inlineStr">
        <is>
          <t>Vuceljić</t>
        </is>
      </c>
      <c r="D119" s="12" t="n">
        <v>40925</v>
      </c>
      <c r="E119" s="6" t="inlineStr">
        <is>
          <t>Mlađi Takmičari</t>
        </is>
      </c>
      <c r="F119" s="6" t="inlineStr">
        <is>
          <t>PK Taš011</t>
        </is>
      </c>
      <c r="G119" s="8" t="n">
        <v>7500</v>
      </c>
      <c r="H119" s="9" t="inlineStr">
        <is>
          <t>DA</t>
        </is>
      </c>
      <c r="I119" s="10" t="inlineStr"/>
      <c r="J119" s="10" t="inlineStr"/>
      <c r="K119" s="10" t="inlineStr"/>
      <c r="L119" s="10" t="inlineStr"/>
      <c r="M119" s="10" t="inlineStr"/>
      <c r="N119" s="10" t="inlineStr"/>
      <c r="O119" s="10" t="inlineStr"/>
      <c r="P119" s="10" t="inlineStr"/>
      <c r="Q119" s="11" t="n">
        <v>6500</v>
      </c>
      <c r="R119" s="11" t="n">
        <v>7500</v>
      </c>
      <c r="S119" s="11" t="n">
        <v>6500</v>
      </c>
      <c r="T119" s="11" t="n">
        <v>7500</v>
      </c>
      <c r="U119" s="10">
        <f>SUM(I119:T119)</f>
        <v/>
      </c>
      <c r="V119" s="10">
        <f>COUNTIF(I119:T119,"&gt;0")</f>
        <v/>
      </c>
      <c r="W119" s="10">
        <f>COUNT(I119:T119)</f>
        <v/>
      </c>
    </row>
    <row r="120">
      <c r="A120" s="6" t="n">
        <v>119</v>
      </c>
      <c r="B120" s="6" t="inlineStr">
        <is>
          <t>Danilo</t>
        </is>
      </c>
      <c r="C120" s="6" t="inlineStr">
        <is>
          <t>Veličković</t>
        </is>
      </c>
      <c r="D120" s="13" t="n">
        <v>41640</v>
      </c>
      <c r="E120" s="6" t="inlineStr">
        <is>
          <t>Mlađi Takmičari</t>
        </is>
      </c>
      <c r="F120" s="6" t="inlineStr">
        <is>
          <t>PK Taš011</t>
        </is>
      </c>
      <c r="G120" s="8" t="n">
        <v>7500</v>
      </c>
      <c r="H120" s="9" t="inlineStr">
        <is>
          <t>DA</t>
        </is>
      </c>
      <c r="I120" s="11" t="n">
        <v>6000</v>
      </c>
      <c r="J120" s="11" t="n">
        <v>6000</v>
      </c>
      <c r="K120" s="11" t="n">
        <v>6000</v>
      </c>
      <c r="L120" s="11" t="n">
        <v>6000</v>
      </c>
      <c r="M120" s="11" t="n">
        <v>6000</v>
      </c>
      <c r="N120" s="14" t="n">
        <v>0</v>
      </c>
      <c r="O120" s="11" t="n">
        <v>6000</v>
      </c>
      <c r="P120" s="10" t="inlineStr"/>
      <c r="Q120" s="10" t="inlineStr"/>
      <c r="R120" s="11" t="n">
        <v>6500</v>
      </c>
      <c r="S120" s="11" t="n">
        <v>6500</v>
      </c>
      <c r="T120" s="14" t="n">
        <v>0</v>
      </c>
      <c r="U120" s="10">
        <f>SUM(I120:T120)</f>
        <v/>
      </c>
      <c r="V120" s="10">
        <f>COUNTIF(I120:T120,"&gt;0")</f>
        <v/>
      </c>
      <c r="W120" s="10">
        <f>COUNT(I120:T120)</f>
        <v/>
      </c>
    </row>
    <row r="121">
      <c r="A121" s="6" t="n">
        <v>120</v>
      </c>
      <c r="B121" s="6" t="inlineStr">
        <is>
          <t>Sara</t>
        </is>
      </c>
      <c r="C121" s="6" t="inlineStr">
        <is>
          <t>Vuksanović</t>
        </is>
      </c>
      <c r="D121" s="13" t="n">
        <v>43101</v>
      </c>
      <c r="E121" s="6" t="inlineStr">
        <is>
          <t>Mlađi Takmičari</t>
        </is>
      </c>
      <c r="F121" s="6" t="inlineStr">
        <is>
          <t>PK Taš011</t>
        </is>
      </c>
      <c r="G121" s="8" t="n">
        <v>3750</v>
      </c>
      <c r="H121" s="9" t="inlineStr">
        <is>
          <t>DA</t>
        </is>
      </c>
      <c r="I121" s="11" t="n">
        <v>3000</v>
      </c>
      <c r="J121" s="11" t="n">
        <v>3000</v>
      </c>
      <c r="K121" s="11" t="n">
        <v>3000</v>
      </c>
      <c r="L121" s="11" t="n">
        <v>2000</v>
      </c>
      <c r="M121" s="11" t="n">
        <v>3000</v>
      </c>
      <c r="N121" s="11" t="n">
        <v>3000</v>
      </c>
      <c r="O121" s="11" t="n">
        <v>3000</v>
      </c>
      <c r="P121" s="11" t="n">
        <v>3000</v>
      </c>
      <c r="Q121" s="11" t="n">
        <v>3250</v>
      </c>
      <c r="R121" s="11" t="n">
        <v>2000</v>
      </c>
      <c r="S121" s="14" t="n">
        <v>0</v>
      </c>
      <c r="T121" s="11" t="n">
        <v>3750</v>
      </c>
      <c r="U121" s="10">
        <f>SUM(I121:T121)</f>
        <v/>
      </c>
      <c r="V121" s="10">
        <f>COUNTIF(I121:T121,"&gt;0")</f>
        <v/>
      </c>
      <c r="W121" s="10">
        <f>COUNT(I121:T121)</f>
        <v/>
      </c>
    </row>
    <row r="122">
      <c r="A122" s="6" t="n">
        <v>121</v>
      </c>
      <c r="B122" s="6" t="inlineStr">
        <is>
          <t>Jakša</t>
        </is>
      </c>
      <c r="C122" s="6" t="inlineStr">
        <is>
          <t>Vraneš</t>
        </is>
      </c>
      <c r="D122" s="12" t="n">
        <v>42702</v>
      </c>
      <c r="E122" s="6" t="inlineStr">
        <is>
          <t>Mlađi Takmičari</t>
        </is>
      </c>
      <c r="F122" s="6" t="inlineStr">
        <is>
          <t>PK Taš011</t>
        </is>
      </c>
      <c r="G122" s="8" t="n">
        <v>7500</v>
      </c>
      <c r="H122" s="9" t="inlineStr">
        <is>
          <t>DA</t>
        </is>
      </c>
      <c r="I122" s="10" t="inlineStr"/>
      <c r="J122" s="10" t="inlineStr"/>
      <c r="K122" s="10" t="inlineStr"/>
      <c r="L122" s="11" t="n">
        <v>6500</v>
      </c>
      <c r="M122" s="10" t="inlineStr"/>
      <c r="N122" s="10" t="inlineStr"/>
      <c r="O122" s="10" t="inlineStr"/>
      <c r="P122" s="10" t="inlineStr"/>
      <c r="Q122" s="10" t="inlineStr"/>
      <c r="R122" s="10" t="inlineStr"/>
      <c r="S122" s="10" t="inlineStr"/>
      <c r="T122" s="10" t="inlineStr"/>
      <c r="U122" s="10">
        <f>SUM(I122:T122)</f>
        <v/>
      </c>
      <c r="V122" s="10">
        <f>COUNTIF(I122:T122,"&gt;0")</f>
        <v/>
      </c>
      <c r="W122" s="10">
        <f>COUNT(I122:T122)</f>
        <v/>
      </c>
    </row>
    <row r="123">
      <c r="A123" s="6" t="n">
        <v>122</v>
      </c>
      <c r="B123" s="6" t="inlineStr">
        <is>
          <t>Vukašin</t>
        </is>
      </c>
      <c r="C123" s="6" t="inlineStr">
        <is>
          <t>Nikolić</t>
        </is>
      </c>
      <c r="D123" s="13" t="n">
        <v>40544</v>
      </c>
      <c r="E123" s="6" t="inlineStr">
        <is>
          <t>Takmičari</t>
        </is>
      </c>
      <c r="F123" s="6" t="inlineStr">
        <is>
          <t>PK Taš011</t>
        </is>
      </c>
      <c r="G123" s="8" t="n">
        <v>8500</v>
      </c>
      <c r="H123" s="9" t="inlineStr">
        <is>
          <t>DA</t>
        </is>
      </c>
      <c r="I123" s="11" t="n">
        <v>7500</v>
      </c>
      <c r="J123" s="11" t="n">
        <v>7500</v>
      </c>
      <c r="K123" s="11" t="n">
        <v>7500</v>
      </c>
      <c r="L123" s="14" t="n">
        <v>0</v>
      </c>
      <c r="M123" s="11" t="n">
        <v>11250</v>
      </c>
      <c r="N123" s="11" t="n">
        <v>7500</v>
      </c>
      <c r="O123" s="11" t="n">
        <v>7500</v>
      </c>
      <c r="P123" s="11" t="n">
        <v>7500</v>
      </c>
      <c r="Q123" s="11" t="n">
        <v>7500</v>
      </c>
      <c r="R123" s="11" t="n">
        <v>7500</v>
      </c>
      <c r="S123" s="11" t="n">
        <v>7500</v>
      </c>
      <c r="T123" s="11" t="n">
        <v>8500</v>
      </c>
      <c r="U123" s="10">
        <f>SUM(I123:T123)</f>
        <v/>
      </c>
      <c r="V123" s="10">
        <f>COUNTIF(I123:T123,"&gt;0")</f>
        <v/>
      </c>
      <c r="W123" s="10">
        <f>COUNT(I123:T123)</f>
        <v/>
      </c>
    </row>
    <row r="124">
      <c r="A124" s="6" t="n">
        <v>123</v>
      </c>
      <c r="B124" s="6" t="inlineStr">
        <is>
          <t>Nikolić</t>
        </is>
      </c>
      <c r="C124" s="6" t="inlineStr">
        <is>
          <t>Jakov</t>
        </is>
      </c>
      <c r="D124" s="13" t="n">
        <v>41640</v>
      </c>
      <c r="E124" s="6" t="inlineStr">
        <is>
          <t>Takmičari</t>
        </is>
      </c>
      <c r="F124" s="6" t="inlineStr">
        <is>
          <t>PK Taš011</t>
        </is>
      </c>
      <c r="G124" s="8" t="n">
        <v>4250</v>
      </c>
      <c r="H124" s="9" t="inlineStr">
        <is>
          <t>DA</t>
        </is>
      </c>
      <c r="I124" s="11" t="n">
        <v>3750</v>
      </c>
      <c r="J124" s="11" t="n">
        <v>3750</v>
      </c>
      <c r="K124" s="11" t="n">
        <v>3750</v>
      </c>
      <c r="L124" s="14" t="n">
        <v>0</v>
      </c>
      <c r="M124" s="11" t="n">
        <v>11250</v>
      </c>
      <c r="N124" s="11" t="n">
        <v>3750</v>
      </c>
      <c r="O124" s="11" t="n">
        <v>3750</v>
      </c>
      <c r="P124" s="11" t="n">
        <v>3750</v>
      </c>
      <c r="Q124" s="11" t="n">
        <v>3750</v>
      </c>
      <c r="R124" s="11" t="n">
        <v>3750</v>
      </c>
      <c r="S124" s="11" t="n">
        <v>3750</v>
      </c>
      <c r="T124" s="11" t="n">
        <v>4250</v>
      </c>
      <c r="U124" s="10">
        <f>SUM(I124:T124)</f>
        <v/>
      </c>
      <c r="V124" s="10">
        <f>COUNTIF(I124:T124,"&gt;0")</f>
        <v/>
      </c>
      <c r="W124" s="10">
        <f>COUNT(I124:T124)</f>
        <v/>
      </c>
    </row>
    <row r="125">
      <c r="A125" s="6" t="n">
        <v>124</v>
      </c>
      <c r="B125" s="6" t="inlineStr">
        <is>
          <t>Škundrić</t>
        </is>
      </c>
      <c r="C125" s="6" t="inlineStr">
        <is>
          <t>Maksim</t>
        </is>
      </c>
      <c r="D125" s="12" t="n">
        <v>40940</v>
      </c>
      <c r="E125" s="6" t="inlineStr">
        <is>
          <t>Takmičari</t>
        </is>
      </c>
      <c r="F125" s="6" t="inlineStr">
        <is>
          <t>PK Taš011</t>
        </is>
      </c>
      <c r="G125" s="8" t="n">
        <v>8500</v>
      </c>
      <c r="H125" s="9" t="inlineStr">
        <is>
          <t>DA</t>
        </is>
      </c>
      <c r="I125" s="11" t="n">
        <v>7500</v>
      </c>
      <c r="J125" s="11" t="n">
        <v>7500</v>
      </c>
      <c r="K125" s="11" t="n">
        <v>7500</v>
      </c>
      <c r="L125" s="11" t="n">
        <v>7500</v>
      </c>
      <c r="M125" s="11" t="n">
        <v>7500</v>
      </c>
      <c r="N125" s="11" t="n">
        <v>7500</v>
      </c>
      <c r="O125" s="11" t="n">
        <v>7500</v>
      </c>
      <c r="P125" s="11" t="n">
        <v>7500</v>
      </c>
      <c r="Q125" s="11" t="n">
        <v>7500</v>
      </c>
      <c r="R125" s="14" t="n">
        <v>0</v>
      </c>
      <c r="S125" s="11" t="n">
        <v>7500</v>
      </c>
      <c r="T125" s="11" t="n">
        <v>8500</v>
      </c>
      <c r="U125" s="10">
        <f>SUM(I125:T125)</f>
        <v/>
      </c>
      <c r="V125" s="10">
        <f>COUNTIF(I125:T125,"&gt;0")</f>
        <v/>
      </c>
      <c r="W125" s="10">
        <f>COUNT(I125:T125)</f>
        <v/>
      </c>
    </row>
    <row r="126">
      <c r="A126" s="6" t="n">
        <v>125</v>
      </c>
      <c r="B126" s="6" t="inlineStr">
        <is>
          <t>Matić</t>
        </is>
      </c>
      <c r="C126" s="6" t="inlineStr">
        <is>
          <t>Sava</t>
        </is>
      </c>
      <c r="D126" s="13" t="n">
        <v>40909</v>
      </c>
      <c r="E126" s="6" t="inlineStr">
        <is>
          <t>Takmičari</t>
        </is>
      </c>
      <c r="F126" s="6" t="inlineStr">
        <is>
          <t>PK Taš011</t>
        </is>
      </c>
      <c r="G126" s="8" t="n">
        <v>8500</v>
      </c>
      <c r="H126" s="9" t="inlineStr">
        <is>
          <t>DA</t>
        </is>
      </c>
      <c r="I126" s="11" t="n">
        <v>7500</v>
      </c>
      <c r="J126" s="11" t="n">
        <v>7500</v>
      </c>
      <c r="K126" s="11" t="n">
        <v>7500</v>
      </c>
      <c r="L126" s="11" t="n">
        <v>7500</v>
      </c>
      <c r="M126" s="11" t="n">
        <v>7500</v>
      </c>
      <c r="N126" s="11" t="n">
        <v>7500</v>
      </c>
      <c r="O126" s="11" t="n">
        <v>7500</v>
      </c>
      <c r="P126" s="11" t="n">
        <v>7500</v>
      </c>
      <c r="Q126" s="14" t="n">
        <v>0</v>
      </c>
      <c r="R126" s="14" t="n">
        <v>0</v>
      </c>
      <c r="S126" s="14" t="n">
        <v>0</v>
      </c>
      <c r="T126" s="11" t="n">
        <v>8500</v>
      </c>
      <c r="U126" s="10">
        <f>SUM(I126:T126)</f>
        <v/>
      </c>
      <c r="V126" s="10">
        <f>COUNTIF(I126:T126,"&gt;0")</f>
        <v/>
      </c>
      <c r="W126" s="10">
        <f>COUNT(I126:T126)</f>
        <v/>
      </c>
    </row>
    <row r="127">
      <c r="A127" s="6" t="n">
        <v>126</v>
      </c>
      <c r="B127" s="6" t="inlineStr">
        <is>
          <t>Matić</t>
        </is>
      </c>
      <c r="C127" s="6" t="inlineStr">
        <is>
          <t>Mihailo</t>
        </is>
      </c>
      <c r="D127" s="13" t="n">
        <v>40909</v>
      </c>
      <c r="E127" s="6" t="inlineStr">
        <is>
          <t>Takmičari</t>
        </is>
      </c>
      <c r="F127" s="6" t="inlineStr">
        <is>
          <t>PK Taš011</t>
        </is>
      </c>
      <c r="G127" s="8" t="n">
        <v>8500</v>
      </c>
      <c r="H127" s="9" t="inlineStr">
        <is>
          <t>DA</t>
        </is>
      </c>
      <c r="I127" s="11" t="n">
        <v>3750</v>
      </c>
      <c r="J127" s="11" t="n">
        <v>3750</v>
      </c>
      <c r="K127" s="11" t="n">
        <v>3750</v>
      </c>
      <c r="L127" s="11" t="n">
        <v>3750</v>
      </c>
      <c r="M127" s="11" t="n">
        <v>3750</v>
      </c>
      <c r="N127" s="11" t="n">
        <v>3750</v>
      </c>
      <c r="O127" s="11" t="n">
        <v>3750</v>
      </c>
      <c r="P127" s="11" t="n">
        <v>3750</v>
      </c>
      <c r="Q127" s="11" t="n">
        <v>7500</v>
      </c>
      <c r="R127" s="11" t="n">
        <v>7500</v>
      </c>
      <c r="S127" s="14" t="n">
        <v>0</v>
      </c>
      <c r="T127" s="11" t="n">
        <v>4250</v>
      </c>
      <c r="U127" s="10">
        <f>SUM(I127:T127)</f>
        <v/>
      </c>
      <c r="V127" s="10">
        <f>COUNTIF(I127:T127,"&gt;0")</f>
        <v/>
      </c>
      <c r="W127" s="10">
        <f>COUNT(I127:T127)</f>
        <v/>
      </c>
    </row>
    <row r="128">
      <c r="A128" s="6" t="n">
        <v>127</v>
      </c>
      <c r="B128" s="6" t="inlineStr">
        <is>
          <t>Davidović</t>
        </is>
      </c>
      <c r="C128" s="6" t="inlineStr">
        <is>
          <t>Helena</t>
        </is>
      </c>
      <c r="D128" s="13" t="n">
        <v>40544</v>
      </c>
      <c r="E128" s="6" t="inlineStr">
        <is>
          <t>Takmičari</t>
        </is>
      </c>
      <c r="F128" s="6" t="inlineStr">
        <is>
          <t>PK Taš011</t>
        </is>
      </c>
      <c r="G128" s="8" t="n">
        <v>5000</v>
      </c>
      <c r="H128" s="9" t="inlineStr">
        <is>
          <t>DA</t>
        </is>
      </c>
      <c r="I128" s="11" t="n">
        <v>6500</v>
      </c>
      <c r="J128" s="11" t="n">
        <v>7500</v>
      </c>
      <c r="K128" s="11" t="n">
        <v>6500</v>
      </c>
      <c r="L128" s="14" t="n">
        <v>0</v>
      </c>
      <c r="M128" s="11" t="n">
        <v>3750</v>
      </c>
      <c r="N128" s="14" t="n">
        <v>0</v>
      </c>
      <c r="O128" s="11" t="n">
        <v>6000</v>
      </c>
      <c r="P128" s="11" t="n">
        <v>6000</v>
      </c>
      <c r="Q128" s="14" t="n">
        <v>0</v>
      </c>
      <c r="R128" s="14" t="n">
        <v>0</v>
      </c>
      <c r="S128" s="14" t="n">
        <v>0</v>
      </c>
      <c r="T128" s="14" t="n">
        <v>0</v>
      </c>
      <c r="U128" s="10">
        <f>SUM(I128:T128)</f>
        <v/>
      </c>
      <c r="V128" s="10">
        <f>COUNTIF(I128:T128,"&gt;0")</f>
        <v/>
      </c>
      <c r="W128" s="10">
        <f>COUNT(I128:T128)</f>
        <v/>
      </c>
    </row>
    <row r="129">
      <c r="A129" s="6" t="n">
        <v>128</v>
      </c>
      <c r="B129" s="6" t="inlineStr">
        <is>
          <t>Petković</t>
        </is>
      </c>
      <c r="C129" s="6" t="inlineStr">
        <is>
          <t>Nikola</t>
        </is>
      </c>
      <c r="D129" s="13" t="n">
        <v>40909</v>
      </c>
      <c r="E129" s="6" t="inlineStr">
        <is>
          <t>Takmičari</t>
        </is>
      </c>
      <c r="F129" s="6" t="inlineStr">
        <is>
          <t>PK Taš011</t>
        </is>
      </c>
      <c r="G129" s="8" t="n">
        <v>8500</v>
      </c>
      <c r="H129" s="9" t="inlineStr">
        <is>
          <t>DA</t>
        </is>
      </c>
      <c r="I129" s="11" t="n">
        <v>7500</v>
      </c>
      <c r="J129" s="11" t="n">
        <v>7500</v>
      </c>
      <c r="K129" s="11" t="n">
        <v>8500</v>
      </c>
      <c r="L129" s="11" t="n">
        <v>8500</v>
      </c>
      <c r="M129" s="11" t="n">
        <v>7500</v>
      </c>
      <c r="N129" s="11" t="n">
        <v>7500</v>
      </c>
      <c r="O129" s="11" t="n">
        <v>7500</v>
      </c>
      <c r="P129" s="11" t="n">
        <v>7500</v>
      </c>
      <c r="Q129" s="11" t="n">
        <v>8500</v>
      </c>
      <c r="R129" s="11" t="n">
        <v>7500</v>
      </c>
      <c r="S129" s="11" t="n">
        <v>7500</v>
      </c>
      <c r="T129" s="11" t="n">
        <v>8500</v>
      </c>
      <c r="U129" s="10">
        <f>SUM(I129:T129)</f>
        <v/>
      </c>
      <c r="V129" s="10">
        <f>COUNTIF(I129:T129,"&gt;0")</f>
        <v/>
      </c>
      <c r="W129" s="10">
        <f>COUNT(I129:T129)</f>
        <v/>
      </c>
    </row>
    <row r="130">
      <c r="A130" s="6" t="n">
        <v>129</v>
      </c>
      <c r="B130" s="6" t="inlineStr">
        <is>
          <t>Murišić</t>
        </is>
      </c>
      <c r="C130" s="6" t="inlineStr">
        <is>
          <t>Luka</t>
        </is>
      </c>
      <c r="D130" s="12" t="n">
        <v>40917</v>
      </c>
      <c r="E130" s="6" t="inlineStr">
        <is>
          <t>Takmičari</t>
        </is>
      </c>
      <c r="F130" s="6" t="inlineStr">
        <is>
          <t>PK Taš011</t>
        </is>
      </c>
      <c r="G130" s="8" t="n">
        <v>8500</v>
      </c>
      <c r="H130" s="9" t="inlineStr">
        <is>
          <t>DA</t>
        </is>
      </c>
      <c r="I130" s="11" t="n">
        <v>7500</v>
      </c>
      <c r="J130" s="11" t="n">
        <v>7500</v>
      </c>
      <c r="K130" s="11" t="n">
        <v>7500</v>
      </c>
      <c r="L130" s="11" t="n">
        <v>7500</v>
      </c>
      <c r="M130" s="11" t="n">
        <v>7500</v>
      </c>
      <c r="N130" s="11" t="n">
        <v>7500</v>
      </c>
      <c r="O130" s="11" t="n">
        <v>7500</v>
      </c>
      <c r="P130" s="11" t="n">
        <v>7500</v>
      </c>
      <c r="Q130" s="11" t="n">
        <v>7500</v>
      </c>
      <c r="R130" s="14" t="n">
        <v>0</v>
      </c>
      <c r="S130" s="14" t="n">
        <v>0</v>
      </c>
      <c r="T130" s="11" t="n">
        <v>8500</v>
      </c>
      <c r="U130" s="10">
        <f>SUM(I130:T130)</f>
        <v/>
      </c>
      <c r="V130" s="10">
        <f>COUNTIF(I130:T130,"&gt;0")</f>
        <v/>
      </c>
      <c r="W130" s="10">
        <f>COUNT(I130:T130)</f>
        <v/>
      </c>
    </row>
    <row r="131">
      <c r="A131" s="6" t="n">
        <v>130</v>
      </c>
      <c r="B131" s="6" t="inlineStr">
        <is>
          <t>Ćaćić</t>
        </is>
      </c>
      <c r="C131" s="6" t="inlineStr">
        <is>
          <t>Filip</t>
        </is>
      </c>
      <c r="D131" s="12" t="n">
        <v>40926</v>
      </c>
      <c r="E131" s="6" t="inlineStr">
        <is>
          <t>Takmičari</t>
        </is>
      </c>
      <c r="F131" s="6" t="inlineStr">
        <is>
          <t>PK Taš011</t>
        </is>
      </c>
      <c r="G131" s="8" t="n">
        <v>8500</v>
      </c>
      <c r="H131" s="9" t="inlineStr">
        <is>
          <t>DA</t>
        </is>
      </c>
      <c r="I131" s="11" t="n">
        <v>7500</v>
      </c>
      <c r="J131" s="11" t="n">
        <v>7500</v>
      </c>
      <c r="K131" s="11" t="n">
        <v>7500</v>
      </c>
      <c r="L131" s="14" t="n">
        <v>0</v>
      </c>
      <c r="M131" s="11" t="n">
        <v>7500</v>
      </c>
      <c r="N131" s="11" t="n">
        <v>7500</v>
      </c>
      <c r="O131" s="11" t="n">
        <v>7500</v>
      </c>
      <c r="P131" s="11" t="n">
        <v>7500</v>
      </c>
      <c r="Q131" s="11" t="n">
        <v>7500</v>
      </c>
      <c r="R131" s="14" t="n">
        <v>0</v>
      </c>
      <c r="S131" s="11" t="n">
        <v>7500</v>
      </c>
      <c r="T131" s="11" t="n">
        <v>8500</v>
      </c>
      <c r="U131" s="10">
        <f>SUM(I131:T131)</f>
        <v/>
      </c>
      <c r="V131" s="10">
        <f>COUNTIF(I131:T131,"&gt;0")</f>
        <v/>
      </c>
      <c r="W131" s="10">
        <f>COUNT(I131:T131)</f>
        <v/>
      </c>
    </row>
    <row r="132">
      <c r="A132" s="6" t="n">
        <v>131</v>
      </c>
      <c r="B132" s="6" t="inlineStr">
        <is>
          <t>Ćaćić</t>
        </is>
      </c>
      <c r="C132" s="6" t="inlineStr">
        <is>
          <t>Viktor</t>
        </is>
      </c>
      <c r="D132" s="12" t="n">
        <v>41681</v>
      </c>
      <c r="E132" s="6" t="inlineStr">
        <is>
          <t>Takmičari</t>
        </is>
      </c>
      <c r="F132" s="6" t="inlineStr">
        <is>
          <t>PK Taš011</t>
        </is>
      </c>
      <c r="G132" s="8" t="n">
        <v>4250</v>
      </c>
      <c r="H132" s="9" t="inlineStr">
        <is>
          <t>DA</t>
        </is>
      </c>
      <c r="I132" s="11" t="n">
        <v>3750</v>
      </c>
      <c r="J132" s="11" t="n">
        <v>3750</v>
      </c>
      <c r="K132" s="11" t="n">
        <v>3750</v>
      </c>
      <c r="L132" s="14" t="n">
        <v>0</v>
      </c>
      <c r="M132" s="11" t="n">
        <v>3750</v>
      </c>
      <c r="N132" s="11" t="n">
        <v>3750</v>
      </c>
      <c r="O132" s="11" t="n">
        <v>3750</v>
      </c>
      <c r="P132" s="11" t="n">
        <v>3750</v>
      </c>
      <c r="Q132" s="11" t="n">
        <v>3750</v>
      </c>
      <c r="R132" s="14" t="n">
        <v>0</v>
      </c>
      <c r="S132" s="11" t="n">
        <v>3750</v>
      </c>
      <c r="T132" s="11" t="n">
        <v>4250</v>
      </c>
      <c r="U132" s="10">
        <f>SUM(I132:T132)</f>
        <v/>
      </c>
      <c r="V132" s="10">
        <f>COUNTIF(I132:T132,"&gt;0")</f>
        <v/>
      </c>
      <c r="W132" s="10">
        <f>COUNT(I132:T132)</f>
        <v/>
      </c>
    </row>
    <row r="133">
      <c r="A133" s="6" t="n">
        <v>132</v>
      </c>
      <c r="B133" s="6" t="inlineStr">
        <is>
          <t>Prljević</t>
        </is>
      </c>
      <c r="C133" s="6" t="inlineStr">
        <is>
          <t>Luka</t>
        </is>
      </c>
      <c r="D133" s="13" t="n">
        <v>40179</v>
      </c>
      <c r="E133" s="6" t="inlineStr">
        <is>
          <t>Takmičari</t>
        </is>
      </c>
      <c r="F133" s="6" t="inlineStr">
        <is>
          <t>PK Taš011</t>
        </is>
      </c>
      <c r="G133" s="16" t="n">
        <v>0</v>
      </c>
      <c r="H133" s="9" t="inlineStr">
        <is>
          <t>NE</t>
        </is>
      </c>
      <c r="I133" s="14" t="n">
        <v>0</v>
      </c>
      <c r="J133" s="14" t="n">
        <v>0</v>
      </c>
      <c r="K133" s="14" t="n">
        <v>0</v>
      </c>
      <c r="L133" s="11" t="n">
        <v>7500</v>
      </c>
      <c r="M133" s="14" t="n">
        <v>0</v>
      </c>
      <c r="N133" s="11" t="n">
        <v>7500</v>
      </c>
      <c r="O133" s="14" t="n">
        <v>0</v>
      </c>
      <c r="P133" s="11" t="n">
        <v>7500</v>
      </c>
      <c r="Q133" s="14" t="n">
        <v>0</v>
      </c>
      <c r="R133" s="14" t="n">
        <v>0</v>
      </c>
      <c r="S133" s="14" t="n">
        <v>0</v>
      </c>
      <c r="T133" s="14" t="n">
        <v>0</v>
      </c>
      <c r="U133" s="10">
        <f>SUM(I133:T133)</f>
        <v/>
      </c>
      <c r="V133" s="10">
        <f>COUNTIF(I133:T133,"&gt;0")</f>
        <v/>
      </c>
      <c r="W133" s="10">
        <f>COUNT(I133:T133)</f>
        <v/>
      </c>
    </row>
    <row r="134">
      <c r="A134" s="6" t="n">
        <v>133</v>
      </c>
      <c r="B134" s="6" t="inlineStr">
        <is>
          <t>Videnović</t>
        </is>
      </c>
      <c r="C134" s="6" t="inlineStr">
        <is>
          <t>Pavle</t>
        </is>
      </c>
      <c r="D134" s="13" t="n">
        <v>40909</v>
      </c>
      <c r="E134" s="6" t="inlineStr">
        <is>
          <t>Takmičari</t>
        </is>
      </c>
      <c r="F134" s="6" t="inlineStr">
        <is>
          <t>PK Taš011</t>
        </is>
      </c>
      <c r="G134" s="8" t="n">
        <v>8500</v>
      </c>
      <c r="H134" s="9" t="inlineStr">
        <is>
          <t>DA</t>
        </is>
      </c>
      <c r="I134" s="11" t="n">
        <v>7500</v>
      </c>
      <c r="J134" s="11" t="n">
        <v>7500</v>
      </c>
      <c r="K134" s="11" t="n">
        <v>7500</v>
      </c>
      <c r="L134" s="11" t="n">
        <v>7500</v>
      </c>
      <c r="M134" s="11" t="n">
        <v>7500</v>
      </c>
      <c r="N134" s="11" t="n">
        <v>7500</v>
      </c>
      <c r="O134" s="11" t="n">
        <v>7500</v>
      </c>
      <c r="P134" s="11" t="n">
        <v>7500</v>
      </c>
      <c r="Q134" s="11" t="n">
        <v>7500</v>
      </c>
      <c r="R134" s="14" t="n">
        <v>0</v>
      </c>
      <c r="S134" s="14" t="n">
        <v>0</v>
      </c>
      <c r="T134" s="14" t="n">
        <v>0</v>
      </c>
      <c r="U134" s="10">
        <f>SUM(I134:T134)</f>
        <v/>
      </c>
      <c r="V134" s="10">
        <f>COUNTIF(I134:T134,"&gt;0")</f>
        <v/>
      </c>
      <c r="W134" s="10">
        <f>COUNT(I134:T134)</f>
        <v/>
      </c>
    </row>
    <row r="135">
      <c r="A135" s="6" t="n">
        <v>134</v>
      </c>
      <c r="B135" s="6" t="inlineStr">
        <is>
          <t>Jurošević</t>
        </is>
      </c>
      <c r="C135" s="6" t="inlineStr">
        <is>
          <t>Veljko</t>
        </is>
      </c>
      <c r="D135" s="12" t="n">
        <v>40243</v>
      </c>
      <c r="E135" s="6" t="inlineStr">
        <is>
          <t>Takmičari</t>
        </is>
      </c>
      <c r="F135" s="6" t="inlineStr">
        <is>
          <t>PK Taš011</t>
        </is>
      </c>
      <c r="G135" s="16" t="n">
        <v>0</v>
      </c>
      <c r="H135" s="9" t="inlineStr">
        <is>
          <t>NE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1" t="n">
        <v>7500</v>
      </c>
      <c r="S135" s="14" t="n">
        <v>0</v>
      </c>
      <c r="T135" s="14" t="n">
        <v>0</v>
      </c>
      <c r="U135" s="10">
        <f>SUM(I135:T135)</f>
        <v/>
      </c>
      <c r="V135" s="10">
        <f>COUNTIF(I135:T135,"&gt;0")</f>
        <v/>
      </c>
      <c r="W135" s="10">
        <f>COUNT(I135:T135)</f>
        <v/>
      </c>
    </row>
    <row r="136">
      <c r="A136" s="6" t="n">
        <v>135</v>
      </c>
      <c r="B136" s="6" t="inlineStr">
        <is>
          <t>Poluga</t>
        </is>
      </c>
      <c r="C136" s="6" t="inlineStr">
        <is>
          <t>Bogdan</t>
        </is>
      </c>
      <c r="D136" s="12" t="n">
        <v>40389</v>
      </c>
      <c r="E136" s="6" t="inlineStr">
        <is>
          <t>Takmičari</t>
        </is>
      </c>
      <c r="F136" s="6" t="inlineStr">
        <is>
          <t>PK Taš011</t>
        </is>
      </c>
      <c r="G136" s="8" t="n">
        <v>8500</v>
      </c>
      <c r="H136" s="9" t="inlineStr">
        <is>
          <t>DA</t>
        </is>
      </c>
      <c r="I136" s="11" t="n">
        <v>7500</v>
      </c>
      <c r="J136" s="11" t="n">
        <v>7500</v>
      </c>
      <c r="K136" s="11" t="n">
        <v>7500</v>
      </c>
      <c r="L136" s="11" t="n">
        <v>7500</v>
      </c>
      <c r="M136" s="11" t="n">
        <v>7500</v>
      </c>
      <c r="N136" s="11" t="n">
        <v>7500</v>
      </c>
      <c r="O136" s="11" t="n">
        <v>7500</v>
      </c>
      <c r="P136" s="11" t="n">
        <v>7500</v>
      </c>
      <c r="Q136" s="11" t="n">
        <v>7500</v>
      </c>
      <c r="R136" s="11" t="n">
        <v>7500</v>
      </c>
      <c r="S136" s="11" t="n">
        <v>7500</v>
      </c>
      <c r="T136" s="11" t="n">
        <v>8500</v>
      </c>
      <c r="U136" s="10">
        <f>SUM(I136:T136)</f>
        <v/>
      </c>
      <c r="V136" s="10">
        <f>COUNTIF(I136:T136,"&gt;0")</f>
        <v/>
      </c>
      <c r="W136" s="10">
        <f>COUNT(I136:T136)</f>
        <v/>
      </c>
    </row>
    <row r="137">
      <c r="A137" s="6" t="n">
        <v>136</v>
      </c>
      <c r="B137" s="6" t="inlineStr">
        <is>
          <t>Nikolić</t>
        </is>
      </c>
      <c r="C137" s="6" t="inlineStr">
        <is>
          <t>Filip</t>
        </is>
      </c>
      <c r="D137" s="12" t="n">
        <v>40014</v>
      </c>
      <c r="E137" s="6" t="inlineStr">
        <is>
          <t>Takmičari</t>
        </is>
      </c>
      <c r="F137" s="6" t="inlineStr">
        <is>
          <t>PK Taš011</t>
        </is>
      </c>
      <c r="G137" s="8" t="n">
        <v>8500</v>
      </c>
      <c r="H137" s="9" t="inlineStr">
        <is>
          <t>DA</t>
        </is>
      </c>
      <c r="I137" s="11" t="n">
        <v>7500</v>
      </c>
      <c r="J137" s="11" t="n">
        <v>7500</v>
      </c>
      <c r="K137" s="11" t="n">
        <v>7500</v>
      </c>
      <c r="L137" s="11" t="n">
        <v>7500</v>
      </c>
      <c r="M137" s="11" t="n">
        <v>7500</v>
      </c>
      <c r="N137" s="11" t="n">
        <v>7500</v>
      </c>
      <c r="O137" s="11" t="n">
        <v>7500</v>
      </c>
      <c r="P137" s="11" t="n">
        <v>7500</v>
      </c>
      <c r="Q137" s="11" t="n">
        <v>7500</v>
      </c>
      <c r="R137" s="11" t="n">
        <v>7500</v>
      </c>
      <c r="S137" s="11" t="n">
        <v>7500</v>
      </c>
      <c r="T137" s="14" t="n">
        <v>0</v>
      </c>
      <c r="U137" s="10">
        <f>SUM(I137:T137)</f>
        <v/>
      </c>
      <c r="V137" s="10">
        <f>COUNTIF(I137:T137,"&gt;0")</f>
        <v/>
      </c>
      <c r="W137" s="10">
        <f>COUNT(I137:T137)</f>
        <v/>
      </c>
    </row>
    <row r="138">
      <c r="A138" s="6" t="n">
        <v>137</v>
      </c>
      <c r="B138" s="6" t="inlineStr">
        <is>
          <t>Zanetti</t>
        </is>
      </c>
      <c r="C138" s="6" t="inlineStr">
        <is>
          <t>Kristina</t>
        </is>
      </c>
      <c r="D138" s="13" t="n">
        <v>39814</v>
      </c>
      <c r="E138" s="6" t="inlineStr">
        <is>
          <t>Takmičari</t>
        </is>
      </c>
      <c r="F138" s="6" t="inlineStr">
        <is>
          <t>PK Taš011</t>
        </is>
      </c>
      <c r="G138" s="8" t="n">
        <v>8500</v>
      </c>
      <c r="H138" s="9" t="inlineStr">
        <is>
          <t>DA</t>
        </is>
      </c>
      <c r="I138" s="11" t="n">
        <v>7500</v>
      </c>
      <c r="J138" s="11" t="n">
        <v>7500</v>
      </c>
      <c r="K138" s="11" t="n">
        <v>7500</v>
      </c>
      <c r="L138" s="11" t="n">
        <v>7500</v>
      </c>
      <c r="M138" s="11" t="n">
        <v>7500</v>
      </c>
      <c r="N138" s="11" t="n">
        <v>7500</v>
      </c>
      <c r="O138" s="11" t="n">
        <v>7500</v>
      </c>
      <c r="P138" s="11" t="n">
        <v>7500</v>
      </c>
      <c r="Q138" s="11" t="n">
        <v>7500</v>
      </c>
      <c r="R138" s="14" t="n">
        <v>0</v>
      </c>
      <c r="S138" s="11" t="n">
        <v>7500</v>
      </c>
      <c r="T138" s="11" t="n">
        <v>8500</v>
      </c>
      <c r="U138" s="10">
        <f>SUM(I138:T138)</f>
        <v/>
      </c>
      <c r="V138" s="10">
        <f>COUNTIF(I138:T138,"&gt;0")</f>
        <v/>
      </c>
      <c r="W138" s="10">
        <f>COUNT(I138:T138)</f>
        <v/>
      </c>
    </row>
    <row r="139">
      <c r="A139" s="6" t="n">
        <v>138</v>
      </c>
      <c r="B139" s="6" t="inlineStr">
        <is>
          <t>Đorđević</t>
        </is>
      </c>
      <c r="C139" s="6" t="inlineStr">
        <is>
          <t>Teodora</t>
        </is>
      </c>
      <c r="D139" s="12" t="n">
        <v>39555</v>
      </c>
      <c r="E139" s="6" t="inlineStr">
        <is>
          <t>Takmičari</t>
        </is>
      </c>
      <c r="F139" s="6" t="inlineStr">
        <is>
          <t>PK Taš011</t>
        </is>
      </c>
      <c r="G139" s="8" t="n">
        <v>8500</v>
      </c>
      <c r="H139" s="9" t="inlineStr">
        <is>
          <t>DA</t>
        </is>
      </c>
      <c r="I139" s="11" t="n">
        <v>7500</v>
      </c>
      <c r="J139" s="11" t="n">
        <v>7500</v>
      </c>
      <c r="K139" s="11" t="n">
        <v>7500</v>
      </c>
      <c r="L139" s="11" t="n">
        <v>3750</v>
      </c>
      <c r="M139" s="11" t="n">
        <v>7500</v>
      </c>
      <c r="N139" s="11" t="n">
        <v>7500</v>
      </c>
      <c r="O139" s="14" t="n">
        <v>0</v>
      </c>
      <c r="P139" s="11" t="n">
        <v>7500</v>
      </c>
      <c r="Q139" s="11" t="n">
        <v>7500</v>
      </c>
      <c r="R139" s="14" t="n">
        <v>0</v>
      </c>
      <c r="S139" s="14" t="n">
        <v>0</v>
      </c>
      <c r="T139" s="11" t="n">
        <v>8500</v>
      </c>
      <c r="U139" s="10">
        <f>SUM(I139:T139)</f>
        <v/>
      </c>
      <c r="V139" s="10">
        <f>COUNTIF(I139:T139,"&gt;0")</f>
        <v/>
      </c>
      <c r="W139" s="10">
        <f>COUNT(I139:T139)</f>
        <v/>
      </c>
    </row>
    <row r="140">
      <c r="A140" s="6" t="n">
        <v>139</v>
      </c>
      <c r="B140" s="6" t="inlineStr">
        <is>
          <t>Rackov</t>
        </is>
      </c>
      <c r="C140" s="6" t="inlineStr">
        <is>
          <t>Milutin</t>
        </is>
      </c>
      <c r="D140" s="13" t="n">
        <v>41275</v>
      </c>
      <c r="E140" s="6" t="inlineStr">
        <is>
          <t>Takmičari</t>
        </is>
      </c>
      <c r="F140" s="6" t="inlineStr">
        <is>
          <t>PK Taš011</t>
        </is>
      </c>
      <c r="G140" s="8" t="n">
        <v>8500</v>
      </c>
      <c r="H140" s="9" t="inlineStr">
        <is>
          <t>DA</t>
        </is>
      </c>
      <c r="I140" s="11" t="n">
        <v>7500</v>
      </c>
      <c r="J140" s="11" t="n">
        <v>7500</v>
      </c>
      <c r="K140" s="11" t="n">
        <v>7500</v>
      </c>
      <c r="L140" s="11" t="n">
        <v>7500</v>
      </c>
      <c r="M140" s="11" t="n">
        <v>7500</v>
      </c>
      <c r="N140" s="11" t="n">
        <v>7500</v>
      </c>
      <c r="O140" s="11" t="n">
        <v>7500</v>
      </c>
      <c r="P140" s="11" t="n">
        <v>7500</v>
      </c>
      <c r="Q140" s="11" t="n">
        <v>7500</v>
      </c>
      <c r="R140" s="11" t="n">
        <v>7500</v>
      </c>
      <c r="S140" s="14" t="n">
        <v>0</v>
      </c>
      <c r="T140" s="11" t="n">
        <v>8500</v>
      </c>
      <c r="U140" s="10">
        <f>SUM(I140:T140)</f>
        <v/>
      </c>
      <c r="V140" s="10">
        <f>COUNTIF(I140:T140,"&gt;0")</f>
        <v/>
      </c>
      <c r="W140" s="10">
        <f>COUNT(I140:T140)</f>
        <v/>
      </c>
    </row>
    <row r="141">
      <c r="A141" s="6" t="n">
        <v>140</v>
      </c>
      <c r="B141" s="6" t="inlineStr">
        <is>
          <t>Terzić</t>
        </is>
      </c>
      <c r="C141" s="6" t="inlineStr">
        <is>
          <t>Jovana</t>
        </is>
      </c>
      <c r="D141" s="13" t="n">
        <v>39814</v>
      </c>
      <c r="E141" s="6" t="inlineStr">
        <is>
          <t>Takmičari</t>
        </is>
      </c>
      <c r="F141" s="6" t="inlineStr">
        <is>
          <t>PK Taš011</t>
        </is>
      </c>
      <c r="G141" s="8" t="n">
        <v>8500</v>
      </c>
      <c r="H141" s="9" t="inlineStr">
        <is>
          <t>DA</t>
        </is>
      </c>
      <c r="I141" s="11" t="n">
        <v>7500</v>
      </c>
      <c r="J141" s="11" t="n">
        <v>7500</v>
      </c>
      <c r="K141" s="11" t="n">
        <v>7500</v>
      </c>
      <c r="L141" s="11" t="n">
        <v>7500</v>
      </c>
      <c r="M141" s="11" t="n">
        <v>7500</v>
      </c>
      <c r="N141" s="11" t="n">
        <v>7500</v>
      </c>
      <c r="O141" s="11" t="n">
        <v>7500</v>
      </c>
      <c r="P141" s="11" t="n">
        <v>7500</v>
      </c>
      <c r="Q141" s="11" t="n">
        <v>7500</v>
      </c>
      <c r="R141" s="11" t="n">
        <v>3750</v>
      </c>
      <c r="S141" s="14" t="n">
        <v>0</v>
      </c>
      <c r="T141" s="11" t="n">
        <v>8500</v>
      </c>
      <c r="U141" s="10">
        <f>SUM(I141:T141)</f>
        <v/>
      </c>
      <c r="V141" s="10">
        <f>COUNTIF(I141:T141,"&gt;0")</f>
        <v/>
      </c>
      <c r="W141" s="10">
        <f>COUNT(I141:T141)</f>
        <v/>
      </c>
    </row>
    <row r="142">
      <c r="A142" s="6" t="n">
        <v>141</v>
      </c>
      <c r="B142" s="6" t="inlineStr">
        <is>
          <t>Lena</t>
        </is>
      </c>
      <c r="C142" s="6" t="inlineStr">
        <is>
          <t>Vukovic</t>
        </is>
      </c>
      <c r="D142" s="13" t="n">
        <v>41275</v>
      </c>
      <c r="E142" s="6" t="inlineStr">
        <is>
          <t>Takmičari</t>
        </is>
      </c>
      <c r="F142" s="6" t="inlineStr">
        <is>
          <t>PK Taš011</t>
        </is>
      </c>
      <c r="G142" s="8" t="n">
        <v>8500</v>
      </c>
      <c r="H142" s="9" t="inlineStr">
        <is>
          <t>DA</t>
        </is>
      </c>
      <c r="I142" s="11" t="n">
        <v>7500</v>
      </c>
      <c r="J142" s="11" t="n">
        <v>7500</v>
      </c>
      <c r="K142" s="11" t="n">
        <v>7500</v>
      </c>
      <c r="L142" s="11" t="n">
        <v>7500</v>
      </c>
      <c r="M142" s="11" t="n">
        <v>7500</v>
      </c>
      <c r="N142" s="11" t="n">
        <v>7500</v>
      </c>
      <c r="O142" s="11" t="n">
        <v>7500</v>
      </c>
      <c r="P142" s="11" t="n">
        <v>7500</v>
      </c>
      <c r="Q142" s="11" t="n">
        <v>7500</v>
      </c>
      <c r="R142" s="11" t="n">
        <v>7500</v>
      </c>
      <c r="S142" s="11" t="n">
        <v>7500</v>
      </c>
      <c r="T142" s="11" t="n">
        <v>8500</v>
      </c>
      <c r="U142" s="10">
        <f>SUM(I142:T142)</f>
        <v/>
      </c>
      <c r="V142" s="10">
        <f>COUNTIF(I142:T142,"&gt;0")</f>
        <v/>
      </c>
      <c r="W142" s="10">
        <f>COUNT(I142:T142)</f>
        <v/>
      </c>
    </row>
    <row r="143">
      <c r="A143" s="6" t="n">
        <v>142</v>
      </c>
      <c r="B143" s="6" t="inlineStr">
        <is>
          <t>Jotic</t>
        </is>
      </c>
      <c r="C143" s="6" t="inlineStr">
        <is>
          <t>Mateja</t>
        </is>
      </c>
      <c r="D143" s="12" t="n">
        <v>40512</v>
      </c>
      <c r="E143" s="6" t="inlineStr">
        <is>
          <t>Takmičari</t>
        </is>
      </c>
      <c r="F143" s="6" t="inlineStr">
        <is>
          <t>PK Taš011</t>
        </is>
      </c>
      <c r="G143" s="8" t="n">
        <v>8500</v>
      </c>
      <c r="H143" s="9" t="inlineStr">
        <is>
          <t>DA</t>
        </is>
      </c>
      <c r="I143" s="14" t="n">
        <v>0</v>
      </c>
      <c r="J143" s="11" t="n">
        <v>7500</v>
      </c>
      <c r="K143" s="11" t="n">
        <v>7500</v>
      </c>
      <c r="L143" s="11" t="n">
        <v>7500</v>
      </c>
      <c r="M143" s="11" t="n">
        <v>7500</v>
      </c>
      <c r="N143" s="11" t="n">
        <v>7500</v>
      </c>
      <c r="O143" s="11" t="n">
        <v>7500</v>
      </c>
      <c r="P143" s="11" t="n">
        <v>7500</v>
      </c>
      <c r="Q143" s="11" t="n">
        <v>7500</v>
      </c>
      <c r="R143" s="11" t="n">
        <v>7500</v>
      </c>
      <c r="S143" s="14" t="n">
        <v>0</v>
      </c>
      <c r="T143" s="11" t="n">
        <v>8500</v>
      </c>
      <c r="U143" s="10">
        <f>SUM(I143:T143)</f>
        <v/>
      </c>
      <c r="V143" s="10">
        <f>COUNTIF(I143:T143,"&gt;0")</f>
        <v/>
      </c>
      <c r="W143" s="10">
        <f>COUNT(I143:T143)</f>
        <v/>
      </c>
    </row>
    <row r="144">
      <c r="A144" s="6" t="n">
        <v>143</v>
      </c>
      <c r="B144" s="6" t="inlineStr">
        <is>
          <t>Vidak</t>
        </is>
      </c>
      <c r="C144" s="6" t="inlineStr">
        <is>
          <t>Bulatovic</t>
        </is>
      </c>
      <c r="D144" s="12" t="n">
        <v>40963</v>
      </c>
      <c r="E144" s="6" t="inlineStr">
        <is>
          <t>Takmičari</t>
        </is>
      </c>
      <c r="F144" s="6" t="inlineStr">
        <is>
          <t>PK Taš011</t>
        </is>
      </c>
      <c r="G144" s="8" t="n">
        <v>8500</v>
      </c>
      <c r="H144" s="9" t="inlineStr">
        <is>
          <t>DA</t>
        </is>
      </c>
      <c r="I144" s="11" t="n">
        <v>7500</v>
      </c>
      <c r="J144" s="11" t="n">
        <v>7500</v>
      </c>
      <c r="K144" s="11" t="n">
        <v>7500</v>
      </c>
      <c r="L144" s="11" t="n">
        <v>3250</v>
      </c>
      <c r="M144" s="11" t="n">
        <v>7500</v>
      </c>
      <c r="N144" s="11" t="n">
        <v>7500</v>
      </c>
      <c r="O144" s="11" t="n">
        <v>7500</v>
      </c>
      <c r="P144" s="11" t="n">
        <v>7500</v>
      </c>
      <c r="Q144" s="11" t="n">
        <v>7500</v>
      </c>
      <c r="R144" s="11" t="n">
        <v>3600</v>
      </c>
      <c r="S144" s="11" t="n">
        <v>7500</v>
      </c>
      <c r="T144" s="11" t="n">
        <v>8500</v>
      </c>
      <c r="U144" s="10">
        <f>SUM(I144:T144)</f>
        <v/>
      </c>
      <c r="V144" s="10">
        <f>COUNTIF(I144:T144,"&gt;0")</f>
        <v/>
      </c>
      <c r="W144" s="10">
        <f>COUNT(I144:T144)</f>
        <v/>
      </c>
    </row>
    <row r="145">
      <c r="A145" s="6" t="n">
        <v>144</v>
      </c>
      <c r="B145" s="6" t="inlineStr">
        <is>
          <t>Maksim</t>
        </is>
      </c>
      <c r="C145" s="6" t="inlineStr">
        <is>
          <t>Bulatović</t>
        </is>
      </c>
      <c r="D145" s="12" t="n">
        <v>40963</v>
      </c>
      <c r="E145" s="6" t="inlineStr">
        <is>
          <t>Takmičari</t>
        </is>
      </c>
      <c r="F145" s="6" t="inlineStr">
        <is>
          <t>PK Taš011</t>
        </is>
      </c>
      <c r="G145" s="8" t="n">
        <v>4250</v>
      </c>
      <c r="H145" s="9" t="inlineStr">
        <is>
          <t>DA</t>
        </is>
      </c>
      <c r="I145" s="11" t="n">
        <v>3750</v>
      </c>
      <c r="J145" s="11" t="n">
        <v>3750</v>
      </c>
      <c r="K145" s="11" t="n">
        <v>3750</v>
      </c>
      <c r="L145" s="11" t="n">
        <v>7500</v>
      </c>
      <c r="M145" s="11" t="n">
        <v>3750</v>
      </c>
      <c r="N145" s="11" t="n">
        <v>3750</v>
      </c>
      <c r="O145" s="11" t="n">
        <v>3750</v>
      </c>
      <c r="P145" s="11" t="n">
        <v>3750</v>
      </c>
      <c r="Q145" s="11" t="n">
        <v>3750</v>
      </c>
      <c r="R145" s="11" t="n">
        <v>2000</v>
      </c>
      <c r="S145" s="11" t="n">
        <v>3750</v>
      </c>
      <c r="T145" s="11" t="n">
        <v>4250</v>
      </c>
      <c r="U145" s="10">
        <f>SUM(I145:T145)</f>
        <v/>
      </c>
      <c r="V145" s="10">
        <f>COUNTIF(I145:T145,"&gt;0")</f>
        <v/>
      </c>
      <c r="W145" s="10">
        <f>COUNT(I145:T145)</f>
        <v/>
      </c>
    </row>
    <row r="146">
      <c r="A146" s="6" t="n">
        <v>145</v>
      </c>
      <c r="B146" s="6" t="inlineStr">
        <is>
          <t>Damjan</t>
        </is>
      </c>
      <c r="C146" s="6" t="inlineStr">
        <is>
          <t>Sladoje</t>
        </is>
      </c>
      <c r="D146" s="13" t="n">
        <v>40544</v>
      </c>
      <c r="E146" s="6" t="inlineStr">
        <is>
          <t>Takmičari</t>
        </is>
      </c>
      <c r="F146" s="6" t="inlineStr">
        <is>
          <t>PK Taš011</t>
        </is>
      </c>
      <c r="G146" s="8" t="n">
        <v>8500</v>
      </c>
      <c r="H146" s="9" t="inlineStr">
        <is>
          <t>DA</t>
        </is>
      </c>
      <c r="I146" s="11" t="n">
        <v>7500</v>
      </c>
      <c r="J146" s="11" t="n">
        <v>7500</v>
      </c>
      <c r="K146" s="11" t="n">
        <v>7500</v>
      </c>
      <c r="L146" s="11" t="n">
        <v>7500</v>
      </c>
      <c r="M146" s="11" t="n">
        <v>7500</v>
      </c>
      <c r="N146" s="11" t="n">
        <v>7500</v>
      </c>
      <c r="O146" s="11" t="n">
        <v>7500</v>
      </c>
      <c r="P146" s="11" t="n">
        <v>7500</v>
      </c>
      <c r="Q146" s="11" t="n">
        <v>7500</v>
      </c>
      <c r="R146" s="14" t="n">
        <v>0</v>
      </c>
      <c r="S146" s="11" t="n">
        <v>7500</v>
      </c>
      <c r="T146" s="11" t="n">
        <v>8500</v>
      </c>
      <c r="U146" s="10">
        <f>SUM(I146:T146)</f>
        <v/>
      </c>
      <c r="V146" s="10">
        <f>COUNTIF(I146:T146,"&gt;0")</f>
        <v/>
      </c>
      <c r="W146" s="10">
        <f>COUNT(I146:T146)</f>
        <v/>
      </c>
    </row>
    <row r="147">
      <c r="A147" s="6" t="n">
        <v>146</v>
      </c>
      <c r="B147" s="6" t="inlineStr">
        <is>
          <t>Obradovic</t>
        </is>
      </c>
      <c r="C147" s="6" t="inlineStr">
        <is>
          <t>Aleksandra</t>
        </is>
      </c>
      <c r="D147" s="12" t="n">
        <v>41232</v>
      </c>
      <c r="E147" s="6" t="inlineStr">
        <is>
          <t>Takmičari</t>
        </is>
      </c>
      <c r="F147" s="6" t="inlineStr">
        <is>
          <t>PK Taš011</t>
        </is>
      </c>
      <c r="G147" s="16" t="n">
        <v>0</v>
      </c>
      <c r="H147" s="9" t="inlineStr">
        <is>
          <t>NE</t>
        </is>
      </c>
      <c r="I147" s="11" t="n">
        <v>7500</v>
      </c>
      <c r="J147" s="11" t="n">
        <v>7500</v>
      </c>
      <c r="K147" s="11" t="n">
        <v>7500</v>
      </c>
      <c r="L147" s="14" t="n">
        <v>0</v>
      </c>
      <c r="M147" s="11" t="n">
        <v>7500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0">
        <f>SUM(I147:T147)</f>
        <v/>
      </c>
      <c r="V147" s="10">
        <f>COUNTIF(I147:T147,"&gt;0")</f>
        <v/>
      </c>
      <c r="W147" s="10">
        <f>COUNT(I147:T147)</f>
        <v/>
      </c>
    </row>
    <row r="148">
      <c r="A148" s="6" t="n">
        <v>147</v>
      </c>
      <c r="B148" s="6" t="inlineStr">
        <is>
          <t>Ana</t>
        </is>
      </c>
      <c r="C148" s="6" t="inlineStr">
        <is>
          <t>Kremer</t>
        </is>
      </c>
      <c r="D148" s="13" t="n">
        <v>39814</v>
      </c>
      <c r="E148" s="6" t="inlineStr">
        <is>
          <t>Takmičari</t>
        </is>
      </c>
      <c r="F148" s="6" t="inlineStr">
        <is>
          <t>PK Taš011</t>
        </is>
      </c>
      <c r="G148" s="8" t="n">
        <v>8500</v>
      </c>
      <c r="H148" s="9" t="inlineStr">
        <is>
          <t>DA</t>
        </is>
      </c>
      <c r="I148" s="11" t="n">
        <v>6500</v>
      </c>
      <c r="J148" s="11" t="n">
        <v>6500</v>
      </c>
      <c r="K148" s="14" t="n">
        <v>0</v>
      </c>
      <c r="L148" s="11" t="n">
        <v>6500</v>
      </c>
      <c r="M148" s="11" t="n">
        <v>6500</v>
      </c>
      <c r="N148" s="11" t="n">
        <v>6500</v>
      </c>
      <c r="O148" s="11" t="n">
        <v>6500</v>
      </c>
      <c r="P148" s="11" t="n">
        <v>6500</v>
      </c>
      <c r="Q148" s="11" t="n">
        <v>7500</v>
      </c>
      <c r="R148" s="14" t="n">
        <v>0</v>
      </c>
      <c r="S148" s="11" t="n">
        <v>3750</v>
      </c>
      <c r="T148" s="11" t="n">
        <v>8500</v>
      </c>
      <c r="U148" s="10">
        <f>SUM(I148:T148)</f>
        <v/>
      </c>
      <c r="V148" s="10">
        <f>COUNTIF(I148:T148,"&gt;0")</f>
        <v/>
      </c>
      <c r="W148" s="10">
        <f>COUNT(I148:T148)</f>
        <v/>
      </c>
    </row>
    <row r="149">
      <c r="A149" s="6" t="n">
        <v>148</v>
      </c>
      <c r="B149" s="6" t="inlineStr">
        <is>
          <t>Petra</t>
        </is>
      </c>
      <c r="C149" s="6" t="inlineStr">
        <is>
          <t>Pavlica</t>
        </is>
      </c>
      <c r="D149" s="12" t="n">
        <v>41689</v>
      </c>
      <c r="E149" s="6" t="inlineStr">
        <is>
          <t>Takmičari</t>
        </is>
      </c>
      <c r="F149" s="6" t="inlineStr">
        <is>
          <t>PK Taš011</t>
        </is>
      </c>
      <c r="G149" s="8" t="n">
        <v>8500</v>
      </c>
      <c r="H149" s="9" t="inlineStr">
        <is>
          <t>DA</t>
        </is>
      </c>
      <c r="I149" s="11" t="n">
        <v>7500</v>
      </c>
      <c r="J149" s="11" t="n">
        <v>7500</v>
      </c>
      <c r="K149" s="11" t="n">
        <v>7500</v>
      </c>
      <c r="L149" s="11" t="n">
        <v>7500</v>
      </c>
      <c r="M149" s="11" t="n">
        <v>7500</v>
      </c>
      <c r="N149" s="11" t="n">
        <v>7500</v>
      </c>
      <c r="O149" s="11" t="n">
        <v>7500</v>
      </c>
      <c r="P149" s="11" t="n">
        <v>7500</v>
      </c>
      <c r="Q149" s="11" t="n">
        <v>7500</v>
      </c>
      <c r="R149" s="11" t="n">
        <v>4000</v>
      </c>
      <c r="S149" s="14" t="n">
        <v>0</v>
      </c>
      <c r="T149" s="11" t="n">
        <v>12250</v>
      </c>
      <c r="U149" s="10">
        <f>SUM(I149:T149)</f>
        <v/>
      </c>
      <c r="V149" s="10">
        <f>COUNTIF(I149:T149,"&gt;0")</f>
        <v/>
      </c>
      <c r="W149" s="10">
        <f>COUNT(I149:T149)</f>
        <v/>
      </c>
    </row>
    <row r="150">
      <c r="A150" s="6" t="n">
        <v>149</v>
      </c>
      <c r="B150" s="6" t="inlineStr">
        <is>
          <t>Simona</t>
        </is>
      </c>
      <c r="C150" s="6" t="inlineStr">
        <is>
          <t>Vuksanovic</t>
        </is>
      </c>
      <c r="D150" s="12" t="n">
        <v>41924</v>
      </c>
      <c r="E150" s="6" t="inlineStr">
        <is>
          <t>Takmičari</t>
        </is>
      </c>
      <c r="F150" s="6" t="inlineStr">
        <is>
          <t>PK Taš011</t>
        </is>
      </c>
      <c r="G150" s="8" t="n">
        <v>8500</v>
      </c>
      <c r="H150" s="9" t="inlineStr">
        <is>
          <t>DA</t>
        </is>
      </c>
      <c r="I150" s="11" t="n">
        <v>7500</v>
      </c>
      <c r="J150" s="11" t="n">
        <v>7500</v>
      </c>
      <c r="K150" s="11" t="n">
        <v>7500</v>
      </c>
      <c r="L150" s="11" t="n">
        <v>3250</v>
      </c>
      <c r="M150" s="11" t="n">
        <v>7500</v>
      </c>
      <c r="N150" s="11" t="n">
        <v>7500</v>
      </c>
      <c r="O150" s="11" t="n">
        <v>7500</v>
      </c>
      <c r="P150" s="11" t="n">
        <v>7500</v>
      </c>
      <c r="Q150" s="11" t="n">
        <v>7500</v>
      </c>
      <c r="R150" s="11" t="n">
        <v>3750</v>
      </c>
      <c r="S150" s="11" t="n">
        <v>8500</v>
      </c>
      <c r="T150" s="11" t="n">
        <v>8500</v>
      </c>
      <c r="U150" s="10">
        <f>SUM(I150:T150)</f>
        <v/>
      </c>
      <c r="V150" s="10">
        <f>COUNTIF(I150:T150,"&gt;0")</f>
        <v/>
      </c>
      <c r="W150" s="10">
        <f>COUNT(I150:T150)</f>
        <v/>
      </c>
    </row>
    <row r="151">
      <c r="A151" s="6" t="n">
        <v>150</v>
      </c>
      <c r="B151" s="6" t="inlineStr">
        <is>
          <t>Una</t>
        </is>
      </c>
      <c r="C151" s="6" t="inlineStr">
        <is>
          <t>Ajdukovic</t>
        </is>
      </c>
      <c r="D151" s="12" t="n">
        <v>41002</v>
      </c>
      <c r="E151" s="6" t="inlineStr">
        <is>
          <t>Takmičari</t>
        </is>
      </c>
      <c r="F151" s="6" t="inlineStr">
        <is>
          <t>PK Taš011</t>
        </is>
      </c>
      <c r="G151" s="8" t="n">
        <v>8500</v>
      </c>
      <c r="H151" s="9" t="inlineStr">
        <is>
          <t>DA</t>
        </is>
      </c>
      <c r="I151" s="11" t="n">
        <v>7500</v>
      </c>
      <c r="J151" s="11" t="n">
        <v>7500</v>
      </c>
      <c r="K151" s="11" t="n">
        <v>7500</v>
      </c>
      <c r="L151" s="11" t="n">
        <v>3250</v>
      </c>
      <c r="M151" s="11" t="n">
        <v>7500</v>
      </c>
      <c r="N151" s="11" t="n">
        <v>7500</v>
      </c>
      <c r="O151" s="11" t="n">
        <v>7500</v>
      </c>
      <c r="P151" s="11" t="n">
        <v>7500</v>
      </c>
      <c r="Q151" s="11" t="n">
        <v>3000</v>
      </c>
      <c r="R151" s="14" t="n">
        <v>0</v>
      </c>
      <c r="S151" s="14" t="n">
        <v>0</v>
      </c>
      <c r="T151" s="14" t="n">
        <v>0</v>
      </c>
      <c r="U151" s="10">
        <f>SUM(I151:T151)</f>
        <v/>
      </c>
      <c r="V151" s="10">
        <f>COUNTIF(I151:T151,"&gt;0")</f>
        <v/>
      </c>
      <c r="W151" s="10">
        <f>COUNT(I151:T151)</f>
        <v/>
      </c>
    </row>
    <row r="152">
      <c r="A152" s="6" t="n">
        <v>151</v>
      </c>
      <c r="B152" s="6" t="inlineStr">
        <is>
          <t>Dunja</t>
        </is>
      </c>
      <c r="C152" s="6" t="inlineStr">
        <is>
          <t>Vesic</t>
        </is>
      </c>
      <c r="D152" s="12" t="n">
        <v>41614</v>
      </c>
      <c r="E152" s="6" t="inlineStr">
        <is>
          <t>Takmičari</t>
        </is>
      </c>
      <c r="F152" s="6" t="inlineStr">
        <is>
          <t>PK Taš011</t>
        </is>
      </c>
      <c r="G152" s="8" t="n">
        <v>8500</v>
      </c>
      <c r="H152" s="9" t="inlineStr">
        <is>
          <t>DA</t>
        </is>
      </c>
      <c r="I152" s="11" t="n">
        <v>7500</v>
      </c>
      <c r="J152" s="11" t="n">
        <v>7500</v>
      </c>
      <c r="K152" s="11" t="n">
        <v>7500</v>
      </c>
      <c r="L152" s="11" t="n">
        <v>7500</v>
      </c>
      <c r="M152" s="11" t="n">
        <v>7500</v>
      </c>
      <c r="N152" s="11" t="n">
        <v>7500</v>
      </c>
      <c r="O152" s="11" t="n">
        <v>7500</v>
      </c>
      <c r="P152" s="11" t="n">
        <v>7500</v>
      </c>
      <c r="Q152" s="11" t="n">
        <v>7500</v>
      </c>
      <c r="R152" s="14" t="n">
        <v>0</v>
      </c>
      <c r="S152" s="14" t="n">
        <v>0</v>
      </c>
      <c r="T152" s="11" t="n">
        <v>8500</v>
      </c>
      <c r="U152" s="10">
        <f>SUM(I152:T152)</f>
        <v/>
      </c>
      <c r="V152" s="10">
        <f>COUNTIF(I152:T152,"&gt;0")</f>
        <v/>
      </c>
      <c r="W152" s="10">
        <f>COUNT(I152:T152)</f>
        <v/>
      </c>
    </row>
    <row r="153">
      <c r="A153" s="6" t="n">
        <v>152</v>
      </c>
      <c r="B153" s="6" t="inlineStr">
        <is>
          <t>Mark</t>
        </is>
      </c>
      <c r="C153" s="6" t="inlineStr">
        <is>
          <t>Viprjaznik</t>
        </is>
      </c>
      <c r="D153" s="12" t="n">
        <v>40645</v>
      </c>
      <c r="E153" s="6" t="inlineStr">
        <is>
          <t>Takmičari</t>
        </is>
      </c>
      <c r="F153" s="6" t="inlineStr">
        <is>
          <t>PK Taš011</t>
        </is>
      </c>
      <c r="G153" s="8" t="n">
        <v>8500</v>
      </c>
      <c r="H153" s="9" t="inlineStr">
        <is>
          <t>DA</t>
        </is>
      </c>
      <c r="I153" s="10" t="inlineStr"/>
      <c r="J153" s="10" t="inlineStr"/>
      <c r="K153" s="11" t="n">
        <v>6500</v>
      </c>
      <c r="L153" s="11" t="n">
        <v>6500</v>
      </c>
      <c r="M153" s="11" t="n">
        <v>7500</v>
      </c>
      <c r="N153" s="11" t="n">
        <v>7500</v>
      </c>
      <c r="O153" s="11" t="n">
        <v>7500</v>
      </c>
      <c r="P153" s="11" t="n">
        <v>7500</v>
      </c>
      <c r="Q153" s="11" t="n">
        <v>7500</v>
      </c>
      <c r="R153" s="11" t="n">
        <v>7500</v>
      </c>
      <c r="S153" s="11" t="n">
        <v>7500</v>
      </c>
      <c r="T153" s="11" t="n">
        <v>8500</v>
      </c>
      <c r="U153" s="10">
        <f>SUM(I153:T153)</f>
        <v/>
      </c>
      <c r="V153" s="10">
        <f>COUNTIF(I153:T153,"&gt;0")</f>
        <v/>
      </c>
      <c r="W153" s="10">
        <f>COUNT(I153:T153)</f>
        <v/>
      </c>
    </row>
    <row r="154">
      <c r="A154" s="6" t="n">
        <v>153</v>
      </c>
      <c r="B154" s="6" t="inlineStr">
        <is>
          <t>Uroš</t>
        </is>
      </c>
      <c r="C154" s="6" t="inlineStr">
        <is>
          <t>Vukadinović</t>
        </is>
      </c>
      <c r="D154" s="12" t="n">
        <v>39582</v>
      </c>
      <c r="E154" s="6" t="inlineStr">
        <is>
          <t>Takmičari</t>
        </is>
      </c>
      <c r="F154" s="6" t="inlineStr">
        <is>
          <t>PK Taš011</t>
        </is>
      </c>
      <c r="G154" s="8" t="n">
        <v>8500</v>
      </c>
      <c r="H154" s="9" t="inlineStr">
        <is>
          <t>DA</t>
        </is>
      </c>
      <c r="I154" s="10" t="inlineStr"/>
      <c r="J154" s="10" t="inlineStr"/>
      <c r="K154" s="10" t="inlineStr"/>
      <c r="L154" s="10" t="inlineStr"/>
      <c r="M154" s="10" t="inlineStr"/>
      <c r="N154" s="10" t="inlineStr"/>
      <c r="O154" s="10" t="inlineStr"/>
      <c r="P154" s="11" t="n">
        <v>7500</v>
      </c>
      <c r="Q154" s="11" t="n">
        <v>7500</v>
      </c>
      <c r="R154" s="14" t="n">
        <v>0</v>
      </c>
      <c r="S154" s="14" t="n">
        <v>0</v>
      </c>
      <c r="T154" s="11" t="n">
        <v>8500</v>
      </c>
      <c r="U154" s="10">
        <f>SUM(I154:T154)</f>
        <v/>
      </c>
      <c r="V154" s="10">
        <f>COUNTIF(I154:T154,"&gt;0")</f>
        <v/>
      </c>
      <c r="W154" s="10">
        <f>COUNT(I154:T154)</f>
        <v/>
      </c>
    </row>
    <row r="155">
      <c r="A155" s="6" t="n">
        <v>154</v>
      </c>
      <c r="B155" s="6" t="inlineStr">
        <is>
          <t>Nora</t>
        </is>
      </c>
      <c r="C155" s="6" t="inlineStr">
        <is>
          <t>Ivanović</t>
        </is>
      </c>
      <c r="D155" s="13" t="n">
        <v>40544</v>
      </c>
      <c r="E155" s="6" t="inlineStr">
        <is>
          <t>Takmičari</t>
        </is>
      </c>
      <c r="F155" s="6" t="inlineStr">
        <is>
          <t>PK Taš011</t>
        </is>
      </c>
      <c r="G155" s="8" t="n">
        <v>8500</v>
      </c>
      <c r="H155" s="9" t="inlineStr">
        <is>
          <t>DA</t>
        </is>
      </c>
      <c r="I155" s="11" t="n">
        <v>7500</v>
      </c>
      <c r="J155" s="10" t="inlineStr"/>
      <c r="K155" s="10" t="inlineStr"/>
      <c r="L155" s="11" t="n">
        <v>7500</v>
      </c>
      <c r="M155" s="11" t="n">
        <v>7500</v>
      </c>
      <c r="N155" s="14" t="n">
        <v>0</v>
      </c>
      <c r="O155" s="11" t="n">
        <v>15000</v>
      </c>
      <c r="P155" s="14" t="n">
        <v>0</v>
      </c>
      <c r="Q155" s="14" t="n">
        <v>0</v>
      </c>
      <c r="R155" s="14" t="n">
        <v>0</v>
      </c>
      <c r="S155" s="14" t="n">
        <v>0</v>
      </c>
      <c r="T155" s="11" t="n">
        <v>8500</v>
      </c>
      <c r="U155" s="10">
        <f>SUM(I155:T155)</f>
        <v/>
      </c>
      <c r="V155" s="10">
        <f>COUNTIF(I155:T155,"&gt;0")</f>
        <v/>
      </c>
      <c r="W155" s="10">
        <f>COUNT(I155:T155)</f>
        <v/>
      </c>
    </row>
    <row r="156">
      <c r="A156" s="6" t="n">
        <v>155</v>
      </c>
      <c r="B156" s="6" t="inlineStr">
        <is>
          <t>Mihailo</t>
        </is>
      </c>
      <c r="C156" s="6" t="inlineStr">
        <is>
          <t>Tubić</t>
        </is>
      </c>
      <c r="D156" s="13" t="n">
        <v>39814</v>
      </c>
      <c r="E156" s="6" t="inlineStr">
        <is>
          <t>Rekreacija</t>
        </is>
      </c>
      <c r="F156" s="6" t="inlineStr">
        <is>
          <t>PK Taš011</t>
        </is>
      </c>
      <c r="G156" s="8" t="n">
        <v>6500</v>
      </c>
      <c r="H156" s="9" t="inlineStr">
        <is>
          <t>DA</t>
        </is>
      </c>
      <c r="I156" s="11" t="n">
        <v>6000</v>
      </c>
      <c r="J156" s="11" t="n">
        <v>6000</v>
      </c>
      <c r="K156" s="11" t="n">
        <v>6000</v>
      </c>
      <c r="L156" s="11" t="n">
        <v>3000</v>
      </c>
      <c r="M156" s="14" t="n">
        <v>0</v>
      </c>
      <c r="N156" s="11" t="n">
        <v>9000</v>
      </c>
      <c r="O156" s="14" t="n">
        <v>0</v>
      </c>
      <c r="P156" s="14" t="n">
        <v>0</v>
      </c>
      <c r="Q156" s="11" t="n">
        <v>6000</v>
      </c>
      <c r="R156" s="14" t="n">
        <v>0</v>
      </c>
      <c r="S156" s="14" t="n">
        <v>0</v>
      </c>
      <c r="T156" s="11" t="n">
        <v>6500</v>
      </c>
      <c r="U156" s="10">
        <f>SUM(I156:T156)</f>
        <v/>
      </c>
      <c r="V156" s="10">
        <f>COUNTIF(I156:T156,"&gt;0")</f>
        <v/>
      </c>
      <c r="W156" s="10">
        <f>COUNT(I156:T156)</f>
        <v/>
      </c>
    </row>
    <row r="157">
      <c r="A157" s="6" t="n">
        <v>156</v>
      </c>
      <c r="B157" s="6" t="inlineStr">
        <is>
          <t>Danilović</t>
        </is>
      </c>
      <c r="C157" s="6" t="inlineStr">
        <is>
          <t>Aleksa</t>
        </is>
      </c>
      <c r="D157" s="13" t="n">
        <v>39448</v>
      </c>
      <c r="E157" s="6" t="inlineStr">
        <is>
          <t>Rekreacija</t>
        </is>
      </c>
      <c r="F157" s="6" t="inlineStr">
        <is>
          <t>PK Taš011</t>
        </is>
      </c>
      <c r="G157" s="8" t="n">
        <v>6500</v>
      </c>
      <c r="H157" s="9" t="inlineStr">
        <is>
          <t>DA</t>
        </is>
      </c>
      <c r="I157" s="11" t="n">
        <v>6000</v>
      </c>
      <c r="J157" s="11" t="n">
        <v>6000</v>
      </c>
      <c r="K157" s="11" t="n">
        <v>6000</v>
      </c>
      <c r="L157" s="11" t="n">
        <v>6000</v>
      </c>
      <c r="M157" s="11" t="n">
        <v>6000</v>
      </c>
      <c r="N157" s="11" t="n">
        <v>6000</v>
      </c>
      <c r="O157" s="11" t="n">
        <v>6000</v>
      </c>
      <c r="P157" s="11" t="n">
        <v>6000</v>
      </c>
      <c r="Q157" s="11" t="n">
        <v>6000</v>
      </c>
      <c r="R157" s="14" t="n">
        <v>0</v>
      </c>
      <c r="S157" s="11" t="n">
        <v>6000</v>
      </c>
      <c r="T157" s="11" t="n">
        <v>6500</v>
      </c>
      <c r="U157" s="10">
        <f>SUM(I157:T157)</f>
        <v/>
      </c>
      <c r="V157" s="10">
        <f>COUNTIF(I157:T157,"&gt;0")</f>
        <v/>
      </c>
      <c r="W157" s="10">
        <f>COUNT(I157:T157)</f>
        <v/>
      </c>
    </row>
    <row r="158">
      <c r="A158" s="6" t="n">
        <v>157</v>
      </c>
      <c r="B158" s="6" t="inlineStr">
        <is>
          <t>Seldev</t>
        </is>
      </c>
      <c r="C158" s="6" t="inlineStr">
        <is>
          <t>Maksim</t>
        </is>
      </c>
      <c r="D158" s="13" t="n">
        <v>41275</v>
      </c>
      <c r="E158" s="6" t="inlineStr">
        <is>
          <t>Rekreacija</t>
        </is>
      </c>
      <c r="F158" s="6" t="inlineStr">
        <is>
          <t>PK Taš011</t>
        </is>
      </c>
      <c r="G158" s="8" t="n">
        <v>6500</v>
      </c>
      <c r="H158" s="9" t="inlineStr">
        <is>
          <t>DA</t>
        </is>
      </c>
      <c r="I158" s="11" t="n">
        <v>6000</v>
      </c>
      <c r="J158" s="11" t="n">
        <v>6000</v>
      </c>
      <c r="K158" s="11" t="n">
        <v>6000</v>
      </c>
      <c r="L158" s="14" t="n">
        <v>0</v>
      </c>
      <c r="M158" s="11" t="n">
        <v>6000</v>
      </c>
      <c r="N158" s="11" t="n">
        <v>6000</v>
      </c>
      <c r="O158" s="11" t="n">
        <v>6000</v>
      </c>
      <c r="P158" s="11" t="n">
        <v>6000</v>
      </c>
      <c r="Q158" s="11" t="n">
        <v>6000</v>
      </c>
      <c r="R158" s="14" t="n">
        <v>0</v>
      </c>
      <c r="S158" s="14" t="n">
        <v>0</v>
      </c>
      <c r="T158" s="14" t="n">
        <v>0</v>
      </c>
      <c r="U158" s="10">
        <f>SUM(I158:T158)</f>
        <v/>
      </c>
      <c r="V158" s="10">
        <f>COUNTIF(I158:T158,"&gt;0")</f>
        <v/>
      </c>
      <c r="W158" s="10">
        <f>COUNT(I158:T158)</f>
        <v/>
      </c>
    </row>
    <row r="159">
      <c r="A159" s="6" t="n">
        <v>158</v>
      </c>
      <c r="B159" s="6" t="inlineStr">
        <is>
          <t>Deletić</t>
        </is>
      </c>
      <c r="C159" s="6" t="inlineStr">
        <is>
          <t>Boris</t>
        </is>
      </c>
      <c r="D159" s="13" t="n">
        <v>39448</v>
      </c>
      <c r="E159" s="6" t="inlineStr">
        <is>
          <t>Rekreacija</t>
        </is>
      </c>
      <c r="F159" s="6" t="inlineStr">
        <is>
          <t>PK Taš011</t>
        </is>
      </c>
      <c r="G159" s="8" t="n">
        <v>6500</v>
      </c>
      <c r="H159" s="9" t="inlineStr">
        <is>
          <t>DA</t>
        </is>
      </c>
      <c r="I159" s="14" t="n">
        <v>0</v>
      </c>
      <c r="J159" s="11" t="n">
        <v>6000</v>
      </c>
      <c r="K159" s="11" t="n">
        <v>6000</v>
      </c>
      <c r="L159" s="14" t="n">
        <v>0</v>
      </c>
      <c r="M159" s="11" t="n">
        <v>6000</v>
      </c>
      <c r="N159" s="14" t="n">
        <v>0</v>
      </c>
      <c r="O159" s="14" t="n">
        <v>0</v>
      </c>
      <c r="P159" s="11" t="n">
        <v>6000</v>
      </c>
      <c r="Q159" s="14" t="n">
        <v>0</v>
      </c>
      <c r="R159" s="14" t="n">
        <v>0</v>
      </c>
      <c r="S159" s="14" t="n">
        <v>0</v>
      </c>
      <c r="T159" s="14" t="n">
        <v>0</v>
      </c>
      <c r="U159" s="10">
        <f>SUM(I159:T159)</f>
        <v/>
      </c>
      <c r="V159" s="10">
        <f>COUNTIF(I159:T159,"&gt;0")</f>
        <v/>
      </c>
      <c r="W159" s="10">
        <f>COUNT(I159:T159)</f>
        <v/>
      </c>
    </row>
    <row r="160">
      <c r="A160" s="6" t="n">
        <v>159</v>
      </c>
      <c r="B160" s="6" t="inlineStr">
        <is>
          <t>Tešić</t>
        </is>
      </c>
      <c r="C160" s="6" t="inlineStr">
        <is>
          <t>Viktor</t>
        </is>
      </c>
      <c r="D160" s="13" t="n">
        <v>39814</v>
      </c>
      <c r="E160" s="6" t="inlineStr">
        <is>
          <t>Rekreacija</t>
        </is>
      </c>
      <c r="F160" s="6" t="inlineStr">
        <is>
          <t>PK Taš011</t>
        </is>
      </c>
      <c r="G160" s="8" t="n">
        <v>6500</v>
      </c>
      <c r="H160" s="9" t="inlineStr">
        <is>
          <t>DA</t>
        </is>
      </c>
      <c r="I160" s="11" t="n">
        <v>6000</v>
      </c>
      <c r="J160" s="11" t="n">
        <v>6000</v>
      </c>
      <c r="K160" s="11" t="n">
        <v>6000</v>
      </c>
      <c r="L160" s="14" t="n">
        <v>0</v>
      </c>
      <c r="M160" s="11" t="n">
        <v>6000</v>
      </c>
      <c r="N160" s="11" t="n">
        <v>6000</v>
      </c>
      <c r="O160" s="11" t="n">
        <v>6000</v>
      </c>
      <c r="P160" s="11" t="n">
        <v>6000</v>
      </c>
      <c r="Q160" s="11" t="n">
        <v>6000</v>
      </c>
      <c r="R160" s="14" t="n">
        <v>0</v>
      </c>
      <c r="S160" s="14" t="n">
        <v>0</v>
      </c>
      <c r="T160" s="11" t="n">
        <v>6500</v>
      </c>
      <c r="U160" s="10">
        <f>SUM(I160:T160)</f>
        <v/>
      </c>
      <c r="V160" s="10">
        <f>COUNTIF(I160:T160,"&gt;0")</f>
        <v/>
      </c>
      <c r="W160" s="10">
        <f>COUNT(I160:T160)</f>
        <v/>
      </c>
    </row>
    <row r="161">
      <c r="A161" s="6" t="n">
        <v>160</v>
      </c>
      <c r="B161" s="6" t="inlineStr">
        <is>
          <t>Rosić</t>
        </is>
      </c>
      <c r="C161" s="6" t="inlineStr">
        <is>
          <t>Vuk</t>
        </is>
      </c>
      <c r="D161" s="13" t="n">
        <v>39814</v>
      </c>
      <c r="E161" s="6" t="inlineStr">
        <is>
          <t>Rekreacija</t>
        </is>
      </c>
      <c r="F161" s="6" t="inlineStr">
        <is>
          <t>PK Taš011</t>
        </is>
      </c>
      <c r="G161" s="8" t="n">
        <v>6500</v>
      </c>
      <c r="H161" s="9" t="inlineStr">
        <is>
          <t>DA</t>
        </is>
      </c>
      <c r="I161" s="11" t="n">
        <v>6000</v>
      </c>
      <c r="J161" s="11" t="n">
        <v>6000</v>
      </c>
      <c r="K161" s="11" t="n">
        <v>6000</v>
      </c>
      <c r="L161" s="11" t="n">
        <v>6000</v>
      </c>
      <c r="M161" s="11" t="n">
        <v>6000</v>
      </c>
      <c r="N161" s="14" t="n">
        <v>0</v>
      </c>
      <c r="O161" s="11" t="n">
        <v>6000</v>
      </c>
      <c r="P161" s="11" t="n">
        <v>6000</v>
      </c>
      <c r="Q161" s="14" t="n">
        <v>0</v>
      </c>
      <c r="R161" s="14" t="n">
        <v>0</v>
      </c>
      <c r="S161" s="14" t="n">
        <v>0</v>
      </c>
      <c r="T161" s="14" t="n">
        <v>0</v>
      </c>
      <c r="U161" s="10">
        <f>SUM(I161:T161)</f>
        <v/>
      </c>
      <c r="V161" s="10">
        <f>COUNTIF(I161:T161,"&gt;0")</f>
        <v/>
      </c>
      <c r="W161" s="10">
        <f>COUNT(I161:T161)</f>
        <v/>
      </c>
    </row>
    <row r="162">
      <c r="A162" s="6" t="n">
        <v>161</v>
      </c>
      <c r="B162" s="6" t="inlineStr">
        <is>
          <t>Petković</t>
        </is>
      </c>
      <c r="C162" s="6" t="inlineStr">
        <is>
          <t>Mihailo</t>
        </is>
      </c>
      <c r="D162" s="13" t="n">
        <v>41640</v>
      </c>
      <c r="E162" s="6" t="inlineStr">
        <is>
          <t>Rekreacija</t>
        </is>
      </c>
      <c r="F162" s="6" t="inlineStr">
        <is>
          <t>PK Taš011</t>
        </is>
      </c>
      <c r="G162" s="8" t="n">
        <v>1000</v>
      </c>
      <c r="H162" s="9" t="inlineStr">
        <is>
          <t>DA</t>
        </is>
      </c>
      <c r="I162" s="11" t="n">
        <v>1000</v>
      </c>
      <c r="J162" s="11" t="n">
        <v>1000</v>
      </c>
      <c r="K162" s="14" t="n">
        <v>0</v>
      </c>
      <c r="L162" s="14" t="n">
        <v>0</v>
      </c>
      <c r="M162" s="11" t="n">
        <v>1000</v>
      </c>
      <c r="N162" s="11" t="n">
        <v>1000</v>
      </c>
      <c r="O162" s="11" t="n">
        <v>1000</v>
      </c>
      <c r="P162" s="11" t="n">
        <v>1000</v>
      </c>
      <c r="Q162" s="14" t="n">
        <v>0</v>
      </c>
      <c r="R162" s="11" t="n">
        <v>1000</v>
      </c>
      <c r="S162" s="11" t="n">
        <v>1000</v>
      </c>
      <c r="T162" s="11" t="n">
        <v>1000</v>
      </c>
      <c r="U162" s="10">
        <f>SUM(I162:T162)</f>
        <v/>
      </c>
      <c r="V162" s="10">
        <f>COUNTIF(I162:T162,"&gt;0")</f>
        <v/>
      </c>
      <c r="W162" s="10">
        <f>COUNT(I162:T162)</f>
        <v/>
      </c>
    </row>
    <row r="163">
      <c r="A163" s="6" t="n">
        <v>162</v>
      </c>
      <c r="B163" s="6" t="inlineStr">
        <is>
          <t>Jovan</t>
        </is>
      </c>
      <c r="C163" s="6" t="inlineStr">
        <is>
          <t>Radivojević</t>
        </is>
      </c>
      <c r="D163" s="12" t="n">
        <v>41024</v>
      </c>
      <c r="E163" s="6" t="inlineStr">
        <is>
          <t>Rekreacija</t>
        </is>
      </c>
      <c r="F163" s="6" t="inlineStr">
        <is>
          <t>PK Taš011</t>
        </is>
      </c>
      <c r="G163" s="8" t="n">
        <v>6500</v>
      </c>
      <c r="H163" s="9" t="inlineStr">
        <is>
          <t>DA</t>
        </is>
      </c>
      <c r="I163" s="10" t="inlineStr"/>
      <c r="J163" s="10" t="inlineStr"/>
      <c r="K163" s="10" t="inlineStr"/>
      <c r="L163" s="10" t="inlineStr"/>
      <c r="M163" s="10" t="inlineStr"/>
      <c r="N163" s="10" t="inlineStr"/>
      <c r="O163" s="10" t="inlineStr"/>
      <c r="P163" s="10" t="inlineStr"/>
      <c r="Q163" s="10" t="inlineStr"/>
      <c r="R163" s="10" t="inlineStr"/>
      <c r="S163" s="10" t="inlineStr"/>
      <c r="T163" s="11" t="n">
        <v>6500</v>
      </c>
      <c r="U163" s="10">
        <f>SUM(I163:T163)</f>
        <v/>
      </c>
      <c r="V163" s="10">
        <f>COUNTIF(I163:T163,"&gt;0")</f>
        <v/>
      </c>
      <c r="W163" s="10">
        <f>COUNT(I163:T163)</f>
        <v/>
      </c>
    </row>
    <row r="164">
      <c r="A164" s="6" t="n">
        <v>163</v>
      </c>
      <c r="B164" s="6" t="inlineStr">
        <is>
          <t>Mihailo</t>
        </is>
      </c>
      <c r="C164" s="6" t="inlineStr">
        <is>
          <t>Ivanovivic</t>
        </is>
      </c>
      <c r="D164" s="12" t="n">
        <v>40204</v>
      </c>
      <c r="E164" s="6" t="inlineStr">
        <is>
          <t>Rekreacija</t>
        </is>
      </c>
      <c r="F164" s="6" t="inlineStr">
        <is>
          <t>PK Taš011</t>
        </is>
      </c>
      <c r="G164" s="8" t="n">
        <v>6500</v>
      </c>
      <c r="H164" s="9" t="inlineStr">
        <is>
          <t>DA</t>
        </is>
      </c>
      <c r="I164" s="10" t="inlineStr"/>
      <c r="J164" s="10" t="inlineStr"/>
      <c r="K164" s="10" t="inlineStr"/>
      <c r="L164" s="10" t="inlineStr"/>
      <c r="M164" s="11" t="n">
        <v>3000</v>
      </c>
      <c r="N164" s="11" t="n">
        <v>6000</v>
      </c>
      <c r="O164" s="11" t="n">
        <v>3000</v>
      </c>
      <c r="P164" s="14" t="n">
        <v>0</v>
      </c>
      <c r="Q164" s="11" t="n">
        <v>9000</v>
      </c>
      <c r="R164" s="14" t="n">
        <v>0</v>
      </c>
      <c r="S164" s="14" t="n">
        <v>0</v>
      </c>
      <c r="T164" s="14" t="n">
        <v>0</v>
      </c>
      <c r="U164" s="10">
        <f>SUM(I164:T164)</f>
        <v/>
      </c>
      <c r="V164" s="10">
        <f>COUNTIF(I164:T164,"&gt;0")</f>
        <v/>
      </c>
      <c r="W164" s="10">
        <f>COUNT(I164:T164)</f>
        <v/>
      </c>
    </row>
    <row r="165">
      <c r="A165" s="6" t="n">
        <v>164</v>
      </c>
      <c r="B165" s="6" t="inlineStr">
        <is>
          <t>David</t>
        </is>
      </c>
      <c r="C165" s="6" t="inlineStr">
        <is>
          <t>Divac</t>
        </is>
      </c>
      <c r="D165" s="13" t="n">
        <v>40544</v>
      </c>
      <c r="E165" s="6" t="inlineStr">
        <is>
          <t>Rekreacija</t>
        </is>
      </c>
      <c r="F165" s="6" t="inlineStr">
        <is>
          <t>PK Taš011</t>
        </is>
      </c>
      <c r="G165" s="8" t="n">
        <v>6500</v>
      </c>
      <c r="H165" s="9" t="inlineStr">
        <is>
          <t>DA</t>
        </is>
      </c>
      <c r="I165" s="11" t="n">
        <v>6000</v>
      </c>
      <c r="J165" s="11" t="n">
        <v>6000</v>
      </c>
      <c r="K165" s="11" t="n">
        <v>3000</v>
      </c>
      <c r="L165" s="14" t="n">
        <v>0</v>
      </c>
      <c r="M165" s="11" t="n">
        <v>6000</v>
      </c>
      <c r="N165" s="11" t="n">
        <v>6000</v>
      </c>
      <c r="O165" s="14" t="n">
        <v>0</v>
      </c>
      <c r="P165" s="11" t="n">
        <v>12000</v>
      </c>
      <c r="Q165" s="11" t="n">
        <v>6000</v>
      </c>
      <c r="R165" s="14" t="n">
        <v>0</v>
      </c>
      <c r="S165" s="14" t="n">
        <v>0</v>
      </c>
      <c r="T165" s="11" t="n">
        <v>6500</v>
      </c>
      <c r="U165" s="10">
        <f>SUM(I165:T165)</f>
        <v/>
      </c>
      <c r="V165" s="10">
        <f>COUNTIF(I165:T165,"&gt;0")</f>
        <v/>
      </c>
      <c r="W165" s="10">
        <f>COUNT(I165:T165)</f>
        <v/>
      </c>
    </row>
    <row r="166">
      <c r="A166" s="6" t="n">
        <v>165</v>
      </c>
      <c r="B166" s="6" t="inlineStr">
        <is>
          <t>Mihailo</t>
        </is>
      </c>
      <c r="C166" s="6" t="inlineStr">
        <is>
          <t>Milovanovic</t>
        </is>
      </c>
      <c r="D166" s="13" t="n">
        <v>40544</v>
      </c>
      <c r="E166" s="6" t="inlineStr">
        <is>
          <t>Rekreacija</t>
        </is>
      </c>
      <c r="F166" s="6" t="inlineStr">
        <is>
          <t>PK Taš011</t>
        </is>
      </c>
      <c r="G166" s="8" t="n">
        <v>6500</v>
      </c>
      <c r="H166" s="9" t="inlineStr">
        <is>
          <t>DA</t>
        </is>
      </c>
      <c r="I166" s="11" t="n">
        <v>6000</v>
      </c>
      <c r="J166" s="11" t="n">
        <v>6000</v>
      </c>
      <c r="K166" s="11" t="n">
        <v>6000</v>
      </c>
      <c r="L166" s="11" t="n">
        <v>6000</v>
      </c>
      <c r="M166" s="11" t="n">
        <v>6000</v>
      </c>
      <c r="N166" s="11" t="n">
        <v>6000</v>
      </c>
      <c r="O166" s="14" t="n">
        <v>0</v>
      </c>
      <c r="P166" s="11" t="n">
        <v>6000</v>
      </c>
      <c r="Q166" s="11" t="n">
        <v>6000</v>
      </c>
      <c r="R166" s="14" t="n">
        <v>0</v>
      </c>
      <c r="S166" s="14" t="n">
        <v>0</v>
      </c>
      <c r="T166" s="11" t="n">
        <v>6500</v>
      </c>
      <c r="U166" s="10">
        <f>SUM(I166:T166)</f>
        <v/>
      </c>
      <c r="V166" s="10">
        <f>COUNTIF(I166:T166,"&gt;0")</f>
        <v/>
      </c>
      <c r="W166" s="10">
        <f>COUNT(I166:T166)</f>
        <v/>
      </c>
    </row>
    <row r="167">
      <c r="A167" s="6" t="n">
        <v>166</v>
      </c>
      <c r="B167" s="6" t="inlineStr">
        <is>
          <t>Miloš</t>
        </is>
      </c>
      <c r="C167" s="6" t="inlineStr">
        <is>
          <t>Tepić</t>
        </is>
      </c>
      <c r="D167" s="13" t="n">
        <v>40544</v>
      </c>
      <c r="E167" s="6" t="inlineStr">
        <is>
          <t>Rekreacija</t>
        </is>
      </c>
      <c r="F167" s="6" t="inlineStr">
        <is>
          <t>PK Taš011</t>
        </is>
      </c>
      <c r="G167" s="8" t="n">
        <v>6500</v>
      </c>
      <c r="H167" s="9" t="inlineStr">
        <is>
          <t>DA</t>
        </is>
      </c>
      <c r="I167" s="11" t="n">
        <v>6000</v>
      </c>
      <c r="J167" s="11" t="n">
        <v>6000</v>
      </c>
      <c r="K167" s="11" t="n">
        <v>6000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1" t="n">
        <v>6500</v>
      </c>
      <c r="U167" s="10">
        <f>SUM(I167:T167)</f>
        <v/>
      </c>
      <c r="V167" s="10">
        <f>COUNTIF(I167:T167,"&gt;0")</f>
        <v/>
      </c>
      <c r="W167" s="10">
        <f>COUNT(I167:T167)</f>
        <v/>
      </c>
    </row>
    <row r="168">
      <c r="A168" s="6" t="n">
        <v>167</v>
      </c>
      <c r="B168" s="6" t="inlineStr">
        <is>
          <t>Ognjen</t>
        </is>
      </c>
      <c r="C168" s="6" t="inlineStr">
        <is>
          <t>Andejić</t>
        </is>
      </c>
      <c r="D168" s="13" t="n">
        <v>40909</v>
      </c>
      <c r="E168" s="6" t="inlineStr">
        <is>
          <t>Rekreacija</t>
        </is>
      </c>
      <c r="F168" s="6" t="inlineStr">
        <is>
          <t>PK Taš011</t>
        </is>
      </c>
      <c r="G168" s="8" t="n">
        <v>6500</v>
      </c>
      <c r="H168" s="9" t="inlineStr">
        <is>
          <t>DA</t>
        </is>
      </c>
      <c r="I168" s="10" t="inlineStr"/>
      <c r="J168" s="10" t="inlineStr"/>
      <c r="K168" s="10" t="inlineStr"/>
      <c r="L168" s="10" t="inlineStr"/>
      <c r="M168" s="10" t="inlineStr"/>
      <c r="N168" s="10" t="inlineStr"/>
      <c r="O168" s="11" t="n">
        <v>6000</v>
      </c>
      <c r="P168" s="11" t="n">
        <v>6000</v>
      </c>
      <c r="Q168" s="14" t="n">
        <v>0</v>
      </c>
      <c r="R168" s="11" t="n">
        <v>6000</v>
      </c>
      <c r="S168" s="11" t="n">
        <v>6000</v>
      </c>
      <c r="T168" s="11" t="n">
        <v>6500</v>
      </c>
      <c r="U168" s="10">
        <f>SUM(I168:T168)</f>
        <v/>
      </c>
      <c r="V168" s="10">
        <f>COUNTIF(I168:T168,"&gt;0")</f>
        <v/>
      </c>
      <c r="W168" s="10">
        <f>COUNT(I168:T168)</f>
        <v/>
      </c>
    </row>
    <row r="169">
      <c r="A169" s="6" t="n">
        <v>168</v>
      </c>
      <c r="B169" s="6" t="inlineStr">
        <is>
          <t>Jovan</t>
        </is>
      </c>
      <c r="C169" s="6" t="inlineStr">
        <is>
          <t>Popović</t>
        </is>
      </c>
      <c r="D169" s="13" t="n">
        <v>40909</v>
      </c>
      <c r="E169" s="6" t="inlineStr">
        <is>
          <t>Rekreacija</t>
        </is>
      </c>
      <c r="F169" s="6" t="inlineStr">
        <is>
          <t>PK Taš011</t>
        </is>
      </c>
      <c r="G169" s="8" t="n">
        <v>6500</v>
      </c>
      <c r="H169" s="9" t="inlineStr">
        <is>
          <t>DA</t>
        </is>
      </c>
      <c r="I169" s="11" t="n">
        <v>3000</v>
      </c>
      <c r="J169" s="11" t="n">
        <v>6000</v>
      </c>
      <c r="K169" s="11" t="n">
        <v>6000</v>
      </c>
      <c r="L169" s="14" t="n">
        <v>0</v>
      </c>
      <c r="M169" s="11" t="n">
        <v>6000</v>
      </c>
      <c r="N169" s="11" t="n">
        <v>6000</v>
      </c>
      <c r="O169" s="11" t="n">
        <v>6000</v>
      </c>
      <c r="P169" s="11" t="n">
        <v>6000</v>
      </c>
      <c r="Q169" s="14" t="n">
        <v>0</v>
      </c>
      <c r="R169" s="14" t="n">
        <v>0</v>
      </c>
      <c r="S169" s="14" t="n">
        <v>0</v>
      </c>
      <c r="T169" s="11" t="n">
        <v>6500</v>
      </c>
      <c r="U169" s="10">
        <f>SUM(I169:T169)</f>
        <v/>
      </c>
      <c r="V169" s="10">
        <f>COUNTIF(I169:T169,"&gt;0")</f>
        <v/>
      </c>
      <c r="W169" s="10">
        <f>COUNT(I169:T169)</f>
        <v/>
      </c>
    </row>
    <row r="170">
      <c r="A170" s="6" t="n">
        <v>169</v>
      </c>
      <c r="B170" s="6" t="inlineStr">
        <is>
          <t>Kosta</t>
        </is>
      </c>
      <c r="C170" s="6" t="inlineStr">
        <is>
          <t>Simonovski</t>
        </is>
      </c>
      <c r="D170" s="13" t="n">
        <v>40909</v>
      </c>
      <c r="E170" s="6" t="inlineStr">
        <is>
          <t>Rekreacija</t>
        </is>
      </c>
      <c r="F170" s="6" t="inlineStr">
        <is>
          <t>PK Taš011</t>
        </is>
      </c>
      <c r="G170" s="8" t="n">
        <v>6500</v>
      </c>
      <c r="H170" s="9" t="inlineStr">
        <is>
          <t>DA</t>
        </is>
      </c>
      <c r="I170" s="10" t="inlineStr"/>
      <c r="J170" s="11" t="n">
        <v>6000</v>
      </c>
      <c r="K170" s="11" t="n">
        <v>6000</v>
      </c>
      <c r="L170" s="11" t="n">
        <v>6000</v>
      </c>
      <c r="M170" s="11" t="n">
        <v>6000</v>
      </c>
      <c r="N170" s="11" t="n">
        <v>6000</v>
      </c>
      <c r="O170" s="11" t="n">
        <v>6000</v>
      </c>
      <c r="P170" s="11" t="n">
        <v>6000</v>
      </c>
      <c r="Q170" s="11" t="n">
        <v>6000</v>
      </c>
      <c r="R170" s="11" t="n">
        <v>6000</v>
      </c>
      <c r="S170" s="11" t="n">
        <v>6000</v>
      </c>
      <c r="T170" s="11" t="n">
        <v>6500</v>
      </c>
      <c r="U170" s="10">
        <f>SUM(I170:T170)</f>
        <v/>
      </c>
      <c r="V170" s="10">
        <f>COUNTIF(I170:T170,"&gt;0")</f>
        <v/>
      </c>
      <c r="W170" s="10">
        <f>COUNT(I170:T170)</f>
        <v/>
      </c>
    </row>
    <row r="171">
      <c r="A171" s="6" t="n">
        <v>170</v>
      </c>
      <c r="B171" s="6" t="inlineStr">
        <is>
          <t>Lazar</t>
        </is>
      </c>
      <c r="C171" s="6" t="inlineStr">
        <is>
          <t>Zukić</t>
        </is>
      </c>
      <c r="D171" s="7" t="n">
        <v>1</v>
      </c>
      <c r="E171" s="6" t="inlineStr">
        <is>
          <t>Rekreacija</t>
        </is>
      </c>
      <c r="F171" s="6" t="inlineStr">
        <is>
          <t>PK Taš011</t>
        </is>
      </c>
      <c r="G171" s="8" t="n">
        <v>6500</v>
      </c>
      <c r="H171" s="9" t="inlineStr">
        <is>
          <t>DA</t>
        </is>
      </c>
      <c r="I171" s="10" t="inlineStr"/>
      <c r="J171" s="11" t="n">
        <v>6000</v>
      </c>
      <c r="K171" s="11" t="n">
        <v>6000</v>
      </c>
      <c r="L171" s="11" t="n">
        <v>3000</v>
      </c>
      <c r="M171" s="14" t="n">
        <v>0</v>
      </c>
      <c r="N171" s="11" t="n">
        <v>6000</v>
      </c>
      <c r="O171" s="11" t="n">
        <v>6000</v>
      </c>
      <c r="P171" s="11" t="n">
        <v>6000</v>
      </c>
      <c r="Q171" s="11" t="n">
        <v>6000</v>
      </c>
      <c r="R171" s="14" t="n">
        <v>0</v>
      </c>
      <c r="S171" s="14" t="n">
        <v>0</v>
      </c>
      <c r="T171" s="14" t="n">
        <v>0</v>
      </c>
      <c r="U171" s="10">
        <f>SUM(I171:T171)</f>
        <v/>
      </c>
      <c r="V171" s="10">
        <f>COUNTIF(I171:T171,"&gt;0")</f>
        <v/>
      </c>
      <c r="W171" s="10">
        <f>COUNT(I171:T171)</f>
        <v/>
      </c>
    </row>
    <row r="172">
      <c r="A172" s="6" t="n">
        <v>171</v>
      </c>
      <c r="B172" s="6" t="inlineStr">
        <is>
          <t>Dušan</t>
        </is>
      </c>
      <c r="C172" s="6" t="inlineStr">
        <is>
          <t>Carević</t>
        </is>
      </c>
      <c r="D172" s="13" t="n">
        <v>40179</v>
      </c>
      <c r="E172" s="6" t="inlineStr">
        <is>
          <t>Rekreacija</t>
        </is>
      </c>
      <c r="F172" s="6" t="inlineStr">
        <is>
          <t>PK Taš011</t>
        </is>
      </c>
      <c r="G172" s="8" t="n">
        <v>3250</v>
      </c>
      <c r="H172" s="9" t="inlineStr">
        <is>
          <t>DA</t>
        </is>
      </c>
      <c r="I172" s="11" t="n">
        <v>6000</v>
      </c>
      <c r="J172" s="11" t="n">
        <v>6000</v>
      </c>
      <c r="K172" s="11" t="n">
        <v>6000</v>
      </c>
      <c r="L172" s="14" t="n">
        <v>0</v>
      </c>
      <c r="M172" s="11" t="n">
        <v>9000</v>
      </c>
      <c r="N172" s="11" t="n">
        <v>6000</v>
      </c>
      <c r="O172" s="11" t="n">
        <v>6000</v>
      </c>
      <c r="P172" s="11" t="n">
        <v>6000</v>
      </c>
      <c r="Q172" s="11" t="n">
        <v>6000</v>
      </c>
      <c r="R172" s="11" t="n">
        <v>6000</v>
      </c>
      <c r="S172" s="14" t="n">
        <v>0</v>
      </c>
      <c r="T172" s="14" t="n">
        <v>0</v>
      </c>
      <c r="U172" s="10">
        <f>SUM(I172:T172)</f>
        <v/>
      </c>
      <c r="V172" s="10">
        <f>COUNTIF(I172:T172,"&gt;0")</f>
        <v/>
      </c>
      <c r="W172" s="10">
        <f>COUNT(I172:T172)</f>
        <v/>
      </c>
    </row>
    <row r="173">
      <c r="A173" s="6" t="n">
        <v>172</v>
      </c>
      <c r="B173" s="6" t="inlineStr">
        <is>
          <t>Božidar</t>
        </is>
      </c>
      <c r="C173" s="6" t="inlineStr">
        <is>
          <t>Jašovič</t>
        </is>
      </c>
      <c r="D173" s="13" t="n">
        <v>39814</v>
      </c>
      <c r="E173" s="6" t="inlineStr">
        <is>
          <t>Rekreacija</t>
        </is>
      </c>
      <c r="F173" s="6" t="inlineStr">
        <is>
          <t>PK Taš011</t>
        </is>
      </c>
      <c r="G173" s="8" t="n">
        <v>6500</v>
      </c>
      <c r="H173" s="9" t="inlineStr">
        <is>
          <t>DA</t>
        </is>
      </c>
      <c r="I173" s="11" t="n">
        <v>6000</v>
      </c>
      <c r="J173" s="11" t="n">
        <v>6000</v>
      </c>
      <c r="K173" s="11" t="n">
        <v>3000</v>
      </c>
      <c r="L173" s="14" t="n">
        <v>0</v>
      </c>
      <c r="M173" s="14" t="n">
        <v>0</v>
      </c>
      <c r="N173" s="11" t="n">
        <v>6000</v>
      </c>
      <c r="O173" s="11" t="n">
        <v>6000</v>
      </c>
      <c r="P173" s="11" t="n">
        <v>6000</v>
      </c>
      <c r="Q173" s="11" t="n">
        <v>6000</v>
      </c>
      <c r="R173" s="14" t="n">
        <v>0</v>
      </c>
      <c r="S173" s="14" t="n">
        <v>0</v>
      </c>
      <c r="T173" s="14" t="n">
        <v>0</v>
      </c>
      <c r="U173" s="10">
        <f>SUM(I173:T173)</f>
        <v/>
      </c>
      <c r="V173" s="10">
        <f>COUNTIF(I173:T173,"&gt;0")</f>
        <v/>
      </c>
      <c r="W173" s="10">
        <f>COUNT(I173:T173)</f>
        <v/>
      </c>
    </row>
    <row r="174">
      <c r="A174" s="6" t="n">
        <v>173</v>
      </c>
      <c r="B174" s="6" t="inlineStr">
        <is>
          <t>Petar</t>
        </is>
      </c>
      <c r="C174" s="6" t="inlineStr">
        <is>
          <t>Vulović</t>
        </is>
      </c>
      <c r="D174" s="13" t="n">
        <v>40179</v>
      </c>
      <c r="E174" s="6" t="inlineStr">
        <is>
          <t>Rekreacija</t>
        </is>
      </c>
      <c r="F174" s="6" t="inlineStr">
        <is>
          <t>PK Taš011</t>
        </is>
      </c>
      <c r="G174" s="8" t="n">
        <v>6500</v>
      </c>
      <c r="H174" s="9" t="inlineStr">
        <is>
          <t>DA</t>
        </is>
      </c>
      <c r="I174" s="10" t="inlineStr"/>
      <c r="J174" s="10" t="inlineStr"/>
      <c r="K174" s="10" t="inlineStr"/>
      <c r="L174" s="10" t="inlineStr"/>
      <c r="M174" s="11" t="n">
        <v>6000</v>
      </c>
      <c r="N174" s="11" t="n">
        <v>6000</v>
      </c>
      <c r="O174" s="11" t="n">
        <v>6000</v>
      </c>
      <c r="P174" s="11" t="n">
        <v>3000</v>
      </c>
      <c r="Q174" s="11" t="n">
        <v>3000</v>
      </c>
      <c r="R174" s="14" t="n">
        <v>0</v>
      </c>
      <c r="S174" s="14" t="n">
        <v>0</v>
      </c>
      <c r="T174" s="11" t="n">
        <v>3000</v>
      </c>
      <c r="U174" s="10">
        <f>SUM(I174:T174)</f>
        <v/>
      </c>
      <c r="V174" s="10">
        <f>COUNTIF(I174:T174,"&gt;0")</f>
        <v/>
      </c>
      <c r="W174" s="10">
        <f>COUNT(I174:T174)</f>
        <v/>
      </c>
    </row>
    <row r="175">
      <c r="A175" s="6" t="n">
        <v>174</v>
      </c>
      <c r="B175" s="6" t="inlineStr">
        <is>
          <t>Damjan</t>
        </is>
      </c>
      <c r="C175" s="6" t="inlineStr">
        <is>
          <t>Pavlović</t>
        </is>
      </c>
      <c r="D175" s="13" t="n">
        <v>40544</v>
      </c>
      <c r="E175" s="6" t="inlineStr">
        <is>
          <t>Rekreacija</t>
        </is>
      </c>
      <c r="F175" s="6" t="inlineStr">
        <is>
          <t>PK Taš011</t>
        </is>
      </c>
      <c r="G175" s="8" t="n">
        <v>6500</v>
      </c>
      <c r="H175" s="9" t="inlineStr">
        <is>
          <t>DA</t>
        </is>
      </c>
      <c r="I175" s="11" t="n">
        <v>6000</v>
      </c>
      <c r="J175" s="11" t="n">
        <v>6000</v>
      </c>
      <c r="K175" s="11" t="n">
        <v>6000</v>
      </c>
      <c r="L175" s="14" t="n">
        <v>0</v>
      </c>
      <c r="M175" s="11" t="n">
        <v>6000</v>
      </c>
      <c r="N175" s="11" t="n">
        <v>6000</v>
      </c>
      <c r="O175" s="11" t="n">
        <v>6000</v>
      </c>
      <c r="P175" s="11" t="n">
        <v>6000</v>
      </c>
      <c r="Q175" s="11" t="n">
        <v>6000</v>
      </c>
      <c r="R175" s="14" t="n">
        <v>0</v>
      </c>
      <c r="S175" s="14" t="n">
        <v>0</v>
      </c>
      <c r="T175" s="11" t="n">
        <v>6500</v>
      </c>
      <c r="U175" s="10">
        <f>SUM(I175:T175)</f>
        <v/>
      </c>
      <c r="V175" s="10">
        <f>COUNTIF(I175:T175,"&gt;0")</f>
        <v/>
      </c>
      <c r="W175" s="10">
        <f>COUNT(I175:T175)</f>
        <v/>
      </c>
    </row>
    <row r="176">
      <c r="A176" s="6" t="n">
        <v>175</v>
      </c>
      <c r="B176" s="6" t="inlineStr">
        <is>
          <t>Petar</t>
        </is>
      </c>
      <c r="C176" s="6" t="inlineStr">
        <is>
          <t>Naumović</t>
        </is>
      </c>
      <c r="D176" s="13" t="n">
        <v>40909</v>
      </c>
      <c r="E176" s="6" t="inlineStr">
        <is>
          <t>Rekreacija</t>
        </is>
      </c>
      <c r="F176" s="6" t="inlineStr">
        <is>
          <t>PK Taš011</t>
        </is>
      </c>
      <c r="G176" s="8" t="n">
        <v>6500</v>
      </c>
      <c r="H176" s="9" t="inlineStr">
        <is>
          <t>DA</t>
        </is>
      </c>
      <c r="I176" s="10" t="inlineStr"/>
      <c r="J176" s="10" t="inlineStr"/>
      <c r="K176" s="10" t="inlineStr"/>
      <c r="L176" s="10" t="inlineStr"/>
      <c r="M176" s="10" t="inlineStr"/>
      <c r="N176" s="10" t="inlineStr"/>
      <c r="O176" s="10" t="inlineStr"/>
      <c r="P176" s="11" t="n">
        <v>6000</v>
      </c>
      <c r="Q176" s="14" t="n">
        <v>0</v>
      </c>
      <c r="R176" s="14" t="n">
        <v>0</v>
      </c>
      <c r="S176" s="14" t="n">
        <v>0</v>
      </c>
      <c r="T176" s="14" t="n">
        <v>0</v>
      </c>
      <c r="U176" s="10">
        <f>SUM(I176:T176)</f>
        <v/>
      </c>
      <c r="V176" s="10">
        <f>COUNTIF(I176:T176,"&gt;0")</f>
        <v/>
      </c>
      <c r="W176" s="10">
        <f>COUNT(I176:T176)</f>
        <v/>
      </c>
    </row>
    <row r="177">
      <c r="A177" s="6" t="n">
        <v>176</v>
      </c>
      <c r="B177" s="6" t="inlineStr">
        <is>
          <t>Nikola</t>
        </is>
      </c>
      <c r="C177" s="6" t="inlineStr">
        <is>
          <t>Živanović</t>
        </is>
      </c>
      <c r="D177" s="13" t="n">
        <v>40909</v>
      </c>
      <c r="E177" s="6" t="inlineStr">
        <is>
          <t>Rekreacija</t>
        </is>
      </c>
      <c r="F177" s="6" t="inlineStr">
        <is>
          <t>PK Taš011</t>
        </is>
      </c>
      <c r="G177" s="8" t="n">
        <v>6500</v>
      </c>
      <c r="H177" s="9" t="inlineStr">
        <is>
          <t>DA</t>
        </is>
      </c>
      <c r="I177" s="11" t="n">
        <v>6000</v>
      </c>
      <c r="J177" s="11" t="n">
        <v>6000</v>
      </c>
      <c r="K177" s="14" t="n">
        <v>0</v>
      </c>
      <c r="L177" s="14" t="n">
        <v>0</v>
      </c>
      <c r="M177" s="10" t="inlineStr"/>
      <c r="N177" s="11" t="n">
        <v>6000</v>
      </c>
      <c r="O177" s="10" t="inlineStr"/>
      <c r="P177" s="11" t="n">
        <v>6000</v>
      </c>
      <c r="Q177" s="14" t="n">
        <v>0</v>
      </c>
      <c r="R177" s="14" t="n">
        <v>0</v>
      </c>
      <c r="S177" s="14" t="n">
        <v>0</v>
      </c>
      <c r="T177" s="14" t="n">
        <v>0</v>
      </c>
      <c r="U177" s="10">
        <f>SUM(I177:T177)</f>
        <v/>
      </c>
      <c r="V177" s="10">
        <f>COUNTIF(I177:T177,"&gt;0")</f>
        <v/>
      </c>
      <c r="W177" s="10">
        <f>COUNT(I177:T177)</f>
        <v/>
      </c>
    </row>
    <row r="178">
      <c r="A178" s="6" t="n">
        <v>177</v>
      </c>
      <c r="B178" s="6" t="inlineStr">
        <is>
          <t>Strahinja</t>
        </is>
      </c>
      <c r="C178" s="6" t="inlineStr">
        <is>
          <t>Vidojević</t>
        </is>
      </c>
      <c r="D178" s="12" t="n">
        <v>41115</v>
      </c>
      <c r="E178" s="6" t="inlineStr">
        <is>
          <t>Rekreacija</t>
        </is>
      </c>
      <c r="F178" s="6" t="inlineStr">
        <is>
          <t>PK Taš011</t>
        </is>
      </c>
      <c r="G178" s="8" t="n">
        <v>6500</v>
      </c>
      <c r="H178" s="9" t="inlineStr">
        <is>
          <t>DA</t>
        </is>
      </c>
      <c r="I178" s="10" t="inlineStr"/>
      <c r="J178" s="10" t="inlineStr"/>
      <c r="K178" s="10" t="inlineStr"/>
      <c r="L178" s="10" t="inlineStr"/>
      <c r="M178" s="10" t="inlineStr"/>
      <c r="N178" s="10" t="inlineStr"/>
      <c r="O178" s="10" t="inlineStr"/>
      <c r="P178" s="11" t="n">
        <v>6000</v>
      </c>
      <c r="Q178" s="11" t="n">
        <v>3000</v>
      </c>
      <c r="R178" s="14" t="n">
        <v>0</v>
      </c>
      <c r="S178" s="14" t="n">
        <v>0</v>
      </c>
      <c r="T178" s="14" t="n">
        <v>0</v>
      </c>
      <c r="U178" s="10">
        <f>SUM(I178:T178)</f>
        <v/>
      </c>
      <c r="V178" s="10">
        <f>COUNTIF(I178:T178,"&gt;0")</f>
        <v/>
      </c>
      <c r="W178" s="10">
        <f>COUNT(I178:T178)</f>
        <v/>
      </c>
    </row>
    <row r="179">
      <c r="A179" s="6" t="n">
        <v>178</v>
      </c>
      <c r="B179" s="6" t="inlineStr">
        <is>
          <t>Aleksa</t>
        </is>
      </c>
      <c r="C179" s="6" t="inlineStr">
        <is>
          <t>Pekez</t>
        </is>
      </c>
      <c r="D179" s="12" t="n">
        <v>40458</v>
      </c>
      <c r="E179" s="6" t="inlineStr">
        <is>
          <t>Rekreacija</t>
        </is>
      </c>
      <c r="F179" s="6" t="inlineStr">
        <is>
          <t>PK Taš011</t>
        </is>
      </c>
      <c r="G179" s="8" t="n">
        <v>6500</v>
      </c>
      <c r="H179" s="9" t="inlineStr">
        <is>
          <t>DA</t>
        </is>
      </c>
      <c r="I179" s="14" t="n">
        <v>0</v>
      </c>
      <c r="J179" s="10" t="inlineStr"/>
      <c r="K179" s="10" t="inlineStr"/>
      <c r="L179" s="10" t="inlineStr"/>
      <c r="M179" s="11" t="n">
        <v>6000</v>
      </c>
      <c r="N179" s="14" t="n">
        <v>0</v>
      </c>
      <c r="O179" s="10" t="inlineStr"/>
      <c r="P179" s="10" t="inlineStr"/>
      <c r="Q179" s="11" t="n">
        <v>6000</v>
      </c>
      <c r="R179" s="14" t="n">
        <v>0</v>
      </c>
      <c r="S179" s="14" t="n">
        <v>0</v>
      </c>
      <c r="T179" s="11" t="n">
        <v>6500</v>
      </c>
      <c r="U179" s="10">
        <f>SUM(I179:T179)</f>
        <v/>
      </c>
      <c r="V179" s="10">
        <f>COUNTIF(I179:T179,"&gt;0")</f>
        <v/>
      </c>
      <c r="W179" s="10">
        <f>COUNT(I179:T179)</f>
        <v/>
      </c>
    </row>
    <row r="180">
      <c r="A180" s="6" t="n">
        <v>179</v>
      </c>
      <c r="B180" s="6" t="inlineStr">
        <is>
          <t>Pavle</t>
        </is>
      </c>
      <c r="C180" s="6" t="inlineStr">
        <is>
          <t>Knežević</t>
        </is>
      </c>
      <c r="D180" s="7" t="n">
        <v>1</v>
      </c>
      <c r="E180" s="6" t="inlineStr">
        <is>
          <t>Rekreacija</t>
        </is>
      </c>
      <c r="F180" s="6" t="inlineStr">
        <is>
          <t>PK Taš011</t>
        </is>
      </c>
      <c r="G180" s="8" t="n">
        <v>6500</v>
      </c>
      <c r="H180" s="9" t="inlineStr">
        <is>
          <t>DA</t>
        </is>
      </c>
      <c r="I180" s="10" t="inlineStr"/>
      <c r="J180" s="10" t="inlineStr"/>
      <c r="K180" s="10" t="inlineStr"/>
      <c r="L180" s="10" t="inlineStr"/>
      <c r="M180" s="10" t="inlineStr"/>
      <c r="N180" s="10" t="inlineStr"/>
      <c r="O180" s="10" t="inlineStr"/>
      <c r="P180" s="10" t="inlineStr"/>
      <c r="Q180" s="10" t="inlineStr"/>
      <c r="R180" s="10" t="inlineStr"/>
      <c r="S180" s="10" t="inlineStr"/>
      <c r="T180" s="11" t="n">
        <v>6500</v>
      </c>
      <c r="U180" s="10">
        <f>SUM(I180:T180)</f>
        <v/>
      </c>
      <c r="V180" s="10">
        <f>COUNTIF(I180:T180,"&gt;0")</f>
        <v/>
      </c>
      <c r="W180" s="10">
        <f>COUNT(I180:T180)</f>
        <v/>
      </c>
    </row>
    <row r="181">
      <c r="A181" s="6" t="n">
        <v>180</v>
      </c>
      <c r="B181" s="6" t="inlineStr">
        <is>
          <t>Mihajlo</t>
        </is>
      </c>
      <c r="C181" s="6" t="inlineStr">
        <is>
          <t>Rusić</t>
        </is>
      </c>
      <c r="D181" s="7" t="n">
        <v>1</v>
      </c>
      <c r="E181" s="6" t="inlineStr">
        <is>
          <t>Rekreacija</t>
        </is>
      </c>
      <c r="F181" s="6" t="inlineStr">
        <is>
          <t>PK Taš011</t>
        </is>
      </c>
      <c r="G181" s="8" t="n">
        <v>6500</v>
      </c>
      <c r="H181" s="9" t="inlineStr">
        <is>
          <t>DA</t>
        </is>
      </c>
      <c r="I181" s="10" t="inlineStr"/>
      <c r="J181" s="10" t="inlineStr"/>
      <c r="K181" s="10" t="inlineStr"/>
      <c r="L181" s="10" t="inlineStr"/>
      <c r="M181" s="10" t="inlineStr"/>
      <c r="N181" s="10" t="inlineStr"/>
      <c r="O181" s="10" t="inlineStr"/>
      <c r="P181" s="10" t="inlineStr"/>
      <c r="Q181" s="10" t="inlineStr"/>
      <c r="R181" s="10" t="inlineStr"/>
      <c r="S181" s="10" t="inlineStr"/>
      <c r="T181" s="11" t="n">
        <v>6500</v>
      </c>
      <c r="U181" s="10">
        <f>SUM(I181:T181)</f>
        <v/>
      </c>
      <c r="V181" s="10">
        <f>COUNTIF(I181:T181,"&gt;0")</f>
        <v/>
      </c>
      <c r="W181" s="10">
        <f>COUNT(I181:T181)</f>
        <v/>
      </c>
    </row>
    <row r="182">
      <c r="A182" s="6" t="n">
        <v>181</v>
      </c>
      <c r="B182" s="15" t="inlineStr">
        <is>
          <t>Aleksandar</t>
        </is>
      </c>
      <c r="C182" s="6" t="inlineStr">
        <is>
          <t>C. Milijić</t>
        </is>
      </c>
      <c r="D182" s="13" t="n">
        <v>40179</v>
      </c>
      <c r="E182" s="6" t="inlineStr">
        <is>
          <t>Rekreacija</t>
        </is>
      </c>
      <c r="F182" s="6" t="inlineStr">
        <is>
          <t>PK Taš011</t>
        </is>
      </c>
      <c r="G182" s="8" t="n">
        <v>6500</v>
      </c>
      <c r="H182" s="9" t="inlineStr">
        <is>
          <t>DA</t>
        </is>
      </c>
      <c r="I182" s="10" t="inlineStr"/>
      <c r="J182" s="10" t="inlineStr"/>
      <c r="K182" s="10" t="inlineStr"/>
      <c r="L182" s="10" t="inlineStr"/>
      <c r="M182" s="10" t="inlineStr"/>
      <c r="N182" s="11" t="n">
        <v>6000</v>
      </c>
      <c r="O182" s="10" t="inlineStr"/>
      <c r="P182" s="10" t="inlineStr"/>
      <c r="Q182" s="10" t="inlineStr"/>
      <c r="R182" s="10" t="inlineStr"/>
      <c r="S182" s="10" t="inlineStr"/>
      <c r="T182" s="10" t="inlineStr"/>
      <c r="U182" s="10">
        <f>SUM(I182:T182)</f>
        <v/>
      </c>
      <c r="V182" s="10">
        <f>COUNTIF(I182:T182,"&gt;0")</f>
        <v/>
      </c>
      <c r="W182" s="10">
        <f>COUNT(I182:T182)</f>
        <v/>
      </c>
    </row>
  </sheetData>
  <dataValidations count="1">
    <dataValidation sqref="H2:H182" showDropDown="0" showInputMessage="0" showErrorMessage="0" allowBlank="0" type="list">
      <formula1>"DA,NE"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2026-09-22T15:38:56Z</dcterms:created>
  <dcterms:modified xmlns:dcterms="http://purl.org/dc/terms/" xmlns:xsi="http://www.w3.org/2001/XMLSchema-instance" xsi:type="dcterms:W3CDTF">2026-09-22T15:38:56Z</dcterms:modified>
</cp:coreProperties>
</file>